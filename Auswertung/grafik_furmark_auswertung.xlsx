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Stabilität" sheetId="2" state="visible" r:id="rId2"/>
    <sheet xmlns:r="http://schemas.openxmlformats.org/officeDocument/2006/relationships" name="Zyklusvergleich" sheetId="3" state="visible" r:id="rId3"/>
    <sheet xmlns:r="http://schemas.openxmlformats.org/officeDocument/2006/relationships" name="Zyklen_Detail" sheetId="4" state="visible" r:id="rId4"/>
    <sheet xmlns:r="http://schemas.openxmlformats.org/officeDocument/2006/relationships" name="Tests" sheetId="5" state="visible" r:id="rId5"/>
    <sheet xmlns:r="http://schemas.openxmlformats.org/officeDocument/2006/relationships" name="Trend" sheetId="6" state="visible" r:id="rId6"/>
    <sheet xmlns:r="http://schemas.openxmlformats.org/officeDocument/2006/relationships" name="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0.000000"/>
    <numFmt numFmtId="167" formatCode="0.000"/>
    <numFmt numFmtId="168" formatCode="0.00000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  <font>
      <name val="Arial"/>
      <b val="1"/>
      <sz val="13"/>
    </font>
    <font>
      <name val="Arial"/>
      <color theme="1"/>
      <sz val="11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7" pivotButton="0" quotePrefix="0" xfId="0"/>
    <xf numFmtId="0" fontId="5" fillId="0" borderId="8" pivotButton="0" quotePrefix="0" xfId="0"/>
    <xf numFmtId="0" fontId="5" fillId="0" borderId="4" pivotButton="0" quotePrefix="0" xfId="0"/>
    <xf numFmtId="0" fontId="5" fillId="0" borderId="1" pivotButton="0" quotePrefix="0" xfId="0"/>
    <xf numFmtId="2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8" fontId="5" fillId="0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0" pivotButton="0" quotePrefix="0" xfId="0"/>
    <xf numFmtId="167" fontId="5" fillId="0" borderId="0" pivotButton="0" quotePrefix="0" xfId="0"/>
    <xf numFmtId="0" fontId="6" fillId="3" borderId="0" pivotButton="0" quotePrefix="0" xfId="0"/>
    <xf numFmtId="1" fontId="5" fillId="3" borderId="1" pivotButton="0" quotePrefix="0" xfId="0"/>
    <xf numFmtId="2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168" fontId="5" fillId="3" borderId="1" pivotButton="0" quotePrefix="0" xfId="0"/>
    <xf numFmtId="1" fontId="5" fillId="0" borderId="0" pivotButton="0" quotePrefix="0" xfId="0"/>
    <xf numFmtId="2" fontId="5" fillId="0" borderId="0" pivotButton="0" quotePrefix="0" xfId="0"/>
    <xf numFmtId="165" fontId="5" fillId="0" borderId="0" pivotButton="0" quotePrefix="0" xfId="0"/>
    <xf numFmtId="168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" t="inlineStr">
        <is>
          <t>FurMark (Intel UHD 630): Gesamtauswertung je Treiber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>
      <c r="A2" s="2" t="inlineStr">
        <is>
          <t>Mittelwerte über alle verwerteten Zyklen; Lastfenster vollständiges Plateau je Durchlauf, vom ersten bis zum letzten Messwert über der Schwelle (Median 185.8 s, 184.6 bis 187.6 s). Alle Zahlen sind Verweise auf das Blatt 'Zyklusvergleich'.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3" t="inlineStr">
        <is>
          <t>Kennzahl</t>
        </is>
      </c>
      <c r="B4" s="3" t="inlineStr">
        <is>
          <t>ALT (31.0.101.2115)</t>
        </is>
      </c>
      <c r="C4" s="4" t="n"/>
      <c r="D4" s="4" t="n"/>
      <c r="E4" s="4" t="n"/>
      <c r="F4" s="4" t="n"/>
      <c r="G4" s="4" t="n"/>
      <c r="H4" s="4" t="n"/>
      <c r="I4" s="4" t="n"/>
      <c r="J4" s="5" t="n"/>
      <c r="K4" s="3" t="inlineStr">
        <is>
          <t>MITTEL (31.0.101.2135)</t>
        </is>
      </c>
      <c r="L4" s="4" t="n"/>
      <c r="M4" s="4" t="n"/>
      <c r="N4" s="4" t="n"/>
      <c r="O4" s="4" t="n"/>
      <c r="P4" s="4" t="n"/>
      <c r="Q4" s="4" t="n"/>
      <c r="R4" s="4" t="n"/>
      <c r="S4" s="5" t="n"/>
      <c r="T4" s="3" t="inlineStr">
        <is>
          <t>NEU (31.0.101.2141)</t>
        </is>
      </c>
      <c r="U4" s="4" t="n"/>
      <c r="V4" s="4" t="n"/>
      <c r="W4" s="4" t="n"/>
      <c r="X4" s="4" t="n"/>
      <c r="Y4" s="4" t="n"/>
      <c r="Z4" s="4" t="n"/>
      <c r="AA4" s="4" t="n"/>
      <c r="AB4" s="5" t="n"/>
    </row>
    <row r="5">
      <c r="A5" s="6" t="n"/>
      <c r="B5" s="3" t="inlineStr">
        <is>
          <t>Mittel</t>
        </is>
      </c>
      <c r="C5" s="3" t="inlineStr">
        <is>
          <t>SD</t>
        </is>
      </c>
      <c r="D5" s="3" t="inlineStr">
        <is>
          <t>Varianz</t>
        </is>
      </c>
      <c r="E5" s="3" t="inlineStr">
        <is>
          <t>CV [%]</t>
        </is>
      </c>
      <c r="F5" s="3" t="inlineStr">
        <is>
          <t>Spannweite</t>
        </is>
      </c>
      <c r="G5" s="3" t="inlineStr">
        <is>
          <t>95-%-KI unten</t>
        </is>
      </c>
      <c r="H5" s="3" t="inlineStr">
        <is>
          <t>95-%-KI oben</t>
        </is>
      </c>
      <c r="I5" s="3" t="inlineStr">
        <is>
          <t>Median</t>
        </is>
      </c>
      <c r="J5" s="3" t="inlineStr">
        <is>
          <t>n</t>
        </is>
      </c>
      <c r="K5" s="3" t="inlineStr">
        <is>
          <t>Mittel</t>
        </is>
      </c>
      <c r="L5" s="3" t="inlineStr">
        <is>
          <t>SD</t>
        </is>
      </c>
      <c r="M5" s="3" t="inlineStr">
        <is>
          <t>Varianz</t>
        </is>
      </c>
      <c r="N5" s="3" t="inlineStr">
        <is>
          <t>CV [%]</t>
        </is>
      </c>
      <c r="O5" s="3" t="inlineStr">
        <is>
          <t>Spannweite</t>
        </is>
      </c>
      <c r="P5" s="3" t="inlineStr">
        <is>
          <t>95-%-KI unten</t>
        </is>
      </c>
      <c r="Q5" s="3" t="inlineStr">
        <is>
          <t>95-%-KI oben</t>
        </is>
      </c>
      <c r="R5" s="3" t="inlineStr">
        <is>
          <t>Median</t>
        </is>
      </c>
      <c r="S5" s="3" t="inlineStr">
        <is>
          <t>n</t>
        </is>
      </c>
      <c r="T5" s="3" t="inlineStr">
        <is>
          <t>Mittel</t>
        </is>
      </c>
      <c r="U5" s="3" t="inlineStr">
        <is>
          <t>SD</t>
        </is>
      </c>
      <c r="V5" s="3" t="inlineStr">
        <is>
          <t>Varianz</t>
        </is>
      </c>
      <c r="W5" s="3" t="inlineStr">
        <is>
          <t>CV [%]</t>
        </is>
      </c>
      <c r="X5" s="3" t="inlineStr">
        <is>
          <t>Spannweite</t>
        </is>
      </c>
      <c r="Y5" s="3" t="inlineStr">
        <is>
          <t>95-%-KI unten</t>
        </is>
      </c>
      <c r="Z5" s="3" t="inlineStr">
        <is>
          <t>95-%-KI oben</t>
        </is>
      </c>
      <c r="AA5" s="3" t="inlineStr">
        <is>
          <t>Median</t>
        </is>
      </c>
      <c r="AB5" s="3" t="inlineStr">
        <is>
          <t>n</t>
        </is>
      </c>
    </row>
    <row r="6">
      <c r="A6" s="7" t="inlineStr">
        <is>
          <t>Leerlauf vor [W]</t>
        </is>
      </c>
      <c r="B6" s="8">
        <f>Zyklusvergleich!$B$17</f>
        <v/>
      </c>
      <c r="C6" s="8">
        <f>Zyklusvergleich!$B$18</f>
        <v/>
      </c>
      <c r="D6" s="9">
        <f>Zyklusvergleich!$B$19</f>
        <v/>
      </c>
      <c r="E6" s="10">
        <f>Zyklusvergleich!$B$27</f>
        <v/>
      </c>
      <c r="F6" s="8">
        <f>Zyklusvergleich!$B$20</f>
        <v/>
      </c>
      <c r="G6" s="8">
        <f>Zyklusvergleich!$B$22</f>
        <v/>
      </c>
      <c r="H6" s="8">
        <f>Zyklusvergleich!$B$23</f>
        <v/>
      </c>
      <c r="I6" s="8">
        <f>Zyklusvergleich!$B$24</f>
        <v/>
      </c>
      <c r="J6" s="11">
        <f>Zyklusvergleich!$B$16</f>
        <v/>
      </c>
      <c r="K6" s="8">
        <f>Zyklusvergleich!$C$17</f>
        <v/>
      </c>
      <c r="L6" s="8">
        <f>Zyklusvergleich!$C$18</f>
        <v/>
      </c>
      <c r="M6" s="9">
        <f>Zyklusvergleich!$C$19</f>
        <v/>
      </c>
      <c r="N6" s="10">
        <f>Zyklusvergleich!$C$27</f>
        <v/>
      </c>
      <c r="O6" s="8">
        <f>Zyklusvergleich!$C$20</f>
        <v/>
      </c>
      <c r="P6" s="8">
        <f>Zyklusvergleich!$C$22</f>
        <v/>
      </c>
      <c r="Q6" s="8">
        <f>Zyklusvergleich!$C$23</f>
        <v/>
      </c>
      <c r="R6" s="8">
        <f>Zyklusvergleich!$C$24</f>
        <v/>
      </c>
      <c r="S6" s="11">
        <f>Zyklusvergleich!$C$16</f>
        <v/>
      </c>
      <c r="T6" s="8">
        <f>Zyklusvergleich!$D$17</f>
        <v/>
      </c>
      <c r="U6" s="8">
        <f>Zyklusvergleich!$D$18</f>
        <v/>
      </c>
      <c r="V6" s="9">
        <f>Zyklusvergleich!$D$19</f>
        <v/>
      </c>
      <c r="W6" s="10">
        <f>Zyklusvergleich!$D$27</f>
        <v/>
      </c>
      <c r="X6" s="8">
        <f>Zyklusvergleich!$D$20</f>
        <v/>
      </c>
      <c r="Y6" s="8">
        <f>Zyklusvergleich!$D$22</f>
        <v/>
      </c>
      <c r="Z6" s="8">
        <f>Zyklusvergleich!$D$23</f>
        <v/>
      </c>
      <c r="AA6" s="8">
        <f>Zyklusvergleich!$D$24</f>
        <v/>
      </c>
      <c r="AB6" s="11">
        <f>Zyklusvergleich!$D$16</f>
        <v/>
      </c>
    </row>
    <row r="7">
      <c r="A7" s="7" t="inlineStr">
        <is>
          <t>Last Ø [W]</t>
        </is>
      </c>
      <c r="B7" s="8">
        <f>Zyklusvergleich!$B$44</f>
        <v/>
      </c>
      <c r="C7" s="8">
        <f>Zyklusvergleich!$B$45</f>
        <v/>
      </c>
      <c r="D7" s="9">
        <f>Zyklusvergleich!$B$46</f>
        <v/>
      </c>
      <c r="E7" s="10">
        <f>Zyklusvergleich!$B$54</f>
        <v/>
      </c>
      <c r="F7" s="8">
        <f>Zyklusvergleich!$B$47</f>
        <v/>
      </c>
      <c r="G7" s="8">
        <f>Zyklusvergleich!$B$49</f>
        <v/>
      </c>
      <c r="H7" s="8">
        <f>Zyklusvergleich!$B$50</f>
        <v/>
      </c>
      <c r="I7" s="8">
        <f>Zyklusvergleich!$B$51</f>
        <v/>
      </c>
      <c r="J7" s="11">
        <f>Zyklusvergleich!$B$43</f>
        <v/>
      </c>
      <c r="K7" s="8">
        <f>Zyklusvergleich!$C$44</f>
        <v/>
      </c>
      <c r="L7" s="8">
        <f>Zyklusvergleich!$C$45</f>
        <v/>
      </c>
      <c r="M7" s="9">
        <f>Zyklusvergleich!$C$46</f>
        <v/>
      </c>
      <c r="N7" s="10">
        <f>Zyklusvergleich!$C$54</f>
        <v/>
      </c>
      <c r="O7" s="8">
        <f>Zyklusvergleich!$C$47</f>
        <v/>
      </c>
      <c r="P7" s="8">
        <f>Zyklusvergleich!$C$49</f>
        <v/>
      </c>
      <c r="Q7" s="8">
        <f>Zyklusvergleich!$C$50</f>
        <v/>
      </c>
      <c r="R7" s="8">
        <f>Zyklusvergleich!$C$51</f>
        <v/>
      </c>
      <c r="S7" s="11">
        <f>Zyklusvergleich!$C$43</f>
        <v/>
      </c>
      <c r="T7" s="8">
        <f>Zyklusvergleich!$D$44</f>
        <v/>
      </c>
      <c r="U7" s="8">
        <f>Zyklusvergleich!$D$45</f>
        <v/>
      </c>
      <c r="V7" s="9">
        <f>Zyklusvergleich!$D$46</f>
        <v/>
      </c>
      <c r="W7" s="10">
        <f>Zyklusvergleich!$D$54</f>
        <v/>
      </c>
      <c r="X7" s="8">
        <f>Zyklusvergleich!$D$47</f>
        <v/>
      </c>
      <c r="Y7" s="8">
        <f>Zyklusvergleich!$D$49</f>
        <v/>
      </c>
      <c r="Z7" s="8">
        <f>Zyklusvergleich!$D$50</f>
        <v/>
      </c>
      <c r="AA7" s="8">
        <f>Zyklusvergleich!$D$51</f>
        <v/>
      </c>
      <c r="AB7" s="11">
        <f>Zyklusvergleich!$D$43</f>
        <v/>
      </c>
    </row>
    <row r="8">
      <c r="A8" s="7" t="inlineStr">
        <is>
          <t>Leerlauf nach [W]</t>
        </is>
      </c>
      <c r="B8" s="8">
        <f>Zyklusvergleich!$B$71</f>
        <v/>
      </c>
      <c r="C8" s="8">
        <f>Zyklusvergleich!$B$72</f>
        <v/>
      </c>
      <c r="D8" s="9">
        <f>Zyklusvergleich!$B$73</f>
        <v/>
      </c>
      <c r="E8" s="10">
        <f>Zyklusvergleich!$B$81</f>
        <v/>
      </c>
      <c r="F8" s="8">
        <f>Zyklusvergleich!$B$74</f>
        <v/>
      </c>
      <c r="G8" s="8">
        <f>Zyklusvergleich!$B$76</f>
        <v/>
      </c>
      <c r="H8" s="8">
        <f>Zyklusvergleich!$B$77</f>
        <v/>
      </c>
      <c r="I8" s="8">
        <f>Zyklusvergleich!$B$78</f>
        <v/>
      </c>
      <c r="J8" s="11">
        <f>Zyklusvergleich!$B$70</f>
        <v/>
      </c>
      <c r="K8" s="8">
        <f>Zyklusvergleich!$C$71</f>
        <v/>
      </c>
      <c r="L8" s="8">
        <f>Zyklusvergleich!$C$72</f>
        <v/>
      </c>
      <c r="M8" s="9">
        <f>Zyklusvergleich!$C$73</f>
        <v/>
      </c>
      <c r="N8" s="10">
        <f>Zyklusvergleich!$C$81</f>
        <v/>
      </c>
      <c r="O8" s="8">
        <f>Zyklusvergleich!$C$74</f>
        <v/>
      </c>
      <c r="P8" s="8">
        <f>Zyklusvergleich!$C$76</f>
        <v/>
      </c>
      <c r="Q8" s="8">
        <f>Zyklusvergleich!$C$77</f>
        <v/>
      </c>
      <c r="R8" s="8">
        <f>Zyklusvergleich!$C$78</f>
        <v/>
      </c>
      <c r="S8" s="11">
        <f>Zyklusvergleich!$C$70</f>
        <v/>
      </c>
      <c r="T8" s="8">
        <f>Zyklusvergleich!$D$71</f>
        <v/>
      </c>
      <c r="U8" s="8">
        <f>Zyklusvergleich!$D$72</f>
        <v/>
      </c>
      <c r="V8" s="9">
        <f>Zyklusvergleich!$D$73</f>
        <v/>
      </c>
      <c r="W8" s="10">
        <f>Zyklusvergleich!$D$81</f>
        <v/>
      </c>
      <c r="X8" s="8">
        <f>Zyklusvergleich!$D$74</f>
        <v/>
      </c>
      <c r="Y8" s="8">
        <f>Zyklusvergleich!$D$76</f>
        <v/>
      </c>
      <c r="Z8" s="8">
        <f>Zyklusvergleich!$D$77</f>
        <v/>
      </c>
      <c r="AA8" s="8">
        <f>Zyklusvergleich!$D$78</f>
        <v/>
      </c>
      <c r="AB8" s="11">
        <f>Zyklusvergleich!$D$70</f>
        <v/>
      </c>
    </row>
    <row r="9">
      <c r="A9" s="7" t="inlineStr">
        <is>
          <t>Leerlauf Ø [W]</t>
        </is>
      </c>
      <c r="B9" s="8">
        <f>Zyklusvergleich!$B$98</f>
        <v/>
      </c>
      <c r="C9" s="8">
        <f>Zyklusvergleich!$B$99</f>
        <v/>
      </c>
      <c r="D9" s="9">
        <f>Zyklusvergleich!$B$100</f>
        <v/>
      </c>
      <c r="E9" s="10">
        <f>Zyklusvergleich!$B$108</f>
        <v/>
      </c>
      <c r="F9" s="8">
        <f>Zyklusvergleich!$B$101</f>
        <v/>
      </c>
      <c r="G9" s="8">
        <f>Zyklusvergleich!$B$103</f>
        <v/>
      </c>
      <c r="H9" s="8">
        <f>Zyklusvergleich!$B$104</f>
        <v/>
      </c>
      <c r="I9" s="8">
        <f>Zyklusvergleich!$B$105</f>
        <v/>
      </c>
      <c r="J9" s="11">
        <f>Zyklusvergleich!$B$97</f>
        <v/>
      </c>
      <c r="K9" s="8">
        <f>Zyklusvergleich!$C$98</f>
        <v/>
      </c>
      <c r="L9" s="8">
        <f>Zyklusvergleich!$C$99</f>
        <v/>
      </c>
      <c r="M9" s="9">
        <f>Zyklusvergleich!$C$100</f>
        <v/>
      </c>
      <c r="N9" s="10">
        <f>Zyklusvergleich!$C$108</f>
        <v/>
      </c>
      <c r="O9" s="8">
        <f>Zyklusvergleich!$C$101</f>
        <v/>
      </c>
      <c r="P9" s="8">
        <f>Zyklusvergleich!$C$103</f>
        <v/>
      </c>
      <c r="Q9" s="8">
        <f>Zyklusvergleich!$C$104</f>
        <v/>
      </c>
      <c r="R9" s="8">
        <f>Zyklusvergleich!$C$105</f>
        <v/>
      </c>
      <c r="S9" s="11">
        <f>Zyklusvergleich!$C$97</f>
        <v/>
      </c>
      <c r="T9" s="8">
        <f>Zyklusvergleich!$D$98</f>
        <v/>
      </c>
      <c r="U9" s="8">
        <f>Zyklusvergleich!$D$99</f>
        <v/>
      </c>
      <c r="V9" s="9">
        <f>Zyklusvergleich!$D$100</f>
        <v/>
      </c>
      <c r="W9" s="10">
        <f>Zyklusvergleich!$D$108</f>
        <v/>
      </c>
      <c r="X9" s="8">
        <f>Zyklusvergleich!$D$101</f>
        <v/>
      </c>
      <c r="Y9" s="8">
        <f>Zyklusvergleich!$D$103</f>
        <v/>
      </c>
      <c r="Z9" s="8">
        <f>Zyklusvergleich!$D$104</f>
        <v/>
      </c>
      <c r="AA9" s="8">
        <f>Zyklusvergleich!$D$105</f>
        <v/>
      </c>
      <c r="AB9" s="11">
        <f>Zyklusvergleich!$D$97</f>
        <v/>
      </c>
    </row>
    <row r="10">
      <c r="A10" s="7" t="inlineStr">
        <is>
          <t>Mehrverbrauch Delta [W]</t>
        </is>
      </c>
      <c r="B10" s="8">
        <f>Zyklusvergleich!$B$125</f>
        <v/>
      </c>
      <c r="C10" s="8">
        <f>Zyklusvergleich!$B$126</f>
        <v/>
      </c>
      <c r="D10" s="9">
        <f>Zyklusvergleich!$B$127</f>
        <v/>
      </c>
      <c r="E10" s="10">
        <f>Zyklusvergleich!$B$135</f>
        <v/>
      </c>
      <c r="F10" s="8">
        <f>Zyklusvergleich!$B$128</f>
        <v/>
      </c>
      <c r="G10" s="8">
        <f>Zyklusvergleich!$B$130</f>
        <v/>
      </c>
      <c r="H10" s="8">
        <f>Zyklusvergleich!$B$131</f>
        <v/>
      </c>
      <c r="I10" s="8">
        <f>Zyklusvergleich!$B$132</f>
        <v/>
      </c>
      <c r="J10" s="11">
        <f>Zyklusvergleich!$B$124</f>
        <v/>
      </c>
      <c r="K10" s="8">
        <f>Zyklusvergleich!$C$125</f>
        <v/>
      </c>
      <c r="L10" s="8">
        <f>Zyklusvergleich!$C$126</f>
        <v/>
      </c>
      <c r="M10" s="9">
        <f>Zyklusvergleich!$C$127</f>
        <v/>
      </c>
      <c r="N10" s="10">
        <f>Zyklusvergleich!$C$135</f>
        <v/>
      </c>
      <c r="O10" s="8">
        <f>Zyklusvergleich!$C$128</f>
        <v/>
      </c>
      <c r="P10" s="8">
        <f>Zyklusvergleich!$C$130</f>
        <v/>
      </c>
      <c r="Q10" s="8">
        <f>Zyklusvergleich!$C$131</f>
        <v/>
      </c>
      <c r="R10" s="8">
        <f>Zyklusvergleich!$C$132</f>
        <v/>
      </c>
      <c r="S10" s="11">
        <f>Zyklusvergleich!$C$124</f>
        <v/>
      </c>
      <c r="T10" s="8">
        <f>Zyklusvergleich!$D$125</f>
        <v/>
      </c>
      <c r="U10" s="8">
        <f>Zyklusvergleich!$D$126</f>
        <v/>
      </c>
      <c r="V10" s="9">
        <f>Zyklusvergleich!$D$127</f>
        <v/>
      </c>
      <c r="W10" s="10">
        <f>Zyklusvergleich!$D$135</f>
        <v/>
      </c>
      <c r="X10" s="8">
        <f>Zyklusvergleich!$D$128</f>
        <v/>
      </c>
      <c r="Y10" s="8">
        <f>Zyklusvergleich!$D$130</f>
        <v/>
      </c>
      <c r="Z10" s="8">
        <f>Zyklusvergleich!$D$131</f>
        <v/>
      </c>
      <c r="AA10" s="8">
        <f>Zyklusvergleich!$D$132</f>
        <v/>
      </c>
      <c r="AB10" s="11">
        <f>Zyklusvergleich!$D$124</f>
        <v/>
      </c>
    </row>
    <row r="11">
      <c r="A11" s="7" t="inlineStr">
        <is>
          <t>Energie Lastfenster [Wh]</t>
        </is>
      </c>
      <c r="B11" s="9">
        <f>Zyklusvergleich!$B$152</f>
        <v/>
      </c>
      <c r="C11" s="9">
        <f>Zyklusvergleich!$B$153</f>
        <v/>
      </c>
      <c r="D11" s="12">
        <f>Zyklusvergleich!$B$154</f>
        <v/>
      </c>
      <c r="E11" s="10">
        <f>Zyklusvergleich!$B$162</f>
        <v/>
      </c>
      <c r="F11" s="9">
        <f>Zyklusvergleich!$B$155</f>
        <v/>
      </c>
      <c r="G11" s="9">
        <f>Zyklusvergleich!$B$157</f>
        <v/>
      </c>
      <c r="H11" s="9">
        <f>Zyklusvergleich!$B$158</f>
        <v/>
      </c>
      <c r="I11" s="9">
        <f>Zyklusvergleich!$B$159</f>
        <v/>
      </c>
      <c r="J11" s="11">
        <f>Zyklusvergleich!$B$151</f>
        <v/>
      </c>
      <c r="K11" s="9">
        <f>Zyklusvergleich!$C$152</f>
        <v/>
      </c>
      <c r="L11" s="9">
        <f>Zyklusvergleich!$C$153</f>
        <v/>
      </c>
      <c r="M11" s="12">
        <f>Zyklusvergleich!$C$154</f>
        <v/>
      </c>
      <c r="N11" s="10">
        <f>Zyklusvergleich!$C$162</f>
        <v/>
      </c>
      <c r="O11" s="9">
        <f>Zyklusvergleich!$C$155</f>
        <v/>
      </c>
      <c r="P11" s="9">
        <f>Zyklusvergleich!$C$157</f>
        <v/>
      </c>
      <c r="Q11" s="9">
        <f>Zyklusvergleich!$C$158</f>
        <v/>
      </c>
      <c r="R11" s="9">
        <f>Zyklusvergleich!$C$159</f>
        <v/>
      </c>
      <c r="S11" s="11">
        <f>Zyklusvergleich!$C$151</f>
        <v/>
      </c>
      <c r="T11" s="9">
        <f>Zyklusvergleich!$D$152</f>
        <v/>
      </c>
      <c r="U11" s="9">
        <f>Zyklusvergleich!$D$153</f>
        <v/>
      </c>
      <c r="V11" s="12">
        <f>Zyklusvergleich!$D$154</f>
        <v/>
      </c>
      <c r="W11" s="10">
        <f>Zyklusvergleich!$D$162</f>
        <v/>
      </c>
      <c r="X11" s="9">
        <f>Zyklusvergleich!$D$155</f>
        <v/>
      </c>
      <c r="Y11" s="9">
        <f>Zyklusvergleich!$D$157</f>
        <v/>
      </c>
      <c r="Z11" s="9">
        <f>Zyklusvergleich!$D$158</f>
        <v/>
      </c>
      <c r="AA11" s="9">
        <f>Zyklusvergleich!$D$159</f>
        <v/>
      </c>
      <c r="AB11" s="11">
        <f>Zyklusvergleich!$D$151</f>
        <v/>
      </c>
    </row>
    <row r="12">
      <c r="A12" s="7" t="inlineStr">
        <is>
          <t>CV innerhalb Last [%]</t>
        </is>
      </c>
      <c r="B12" s="8">
        <f>Zyklusvergleich!$B$179</f>
        <v/>
      </c>
      <c r="C12" s="8">
        <f>Zyklusvergleich!$B$180</f>
        <v/>
      </c>
      <c r="D12" s="9">
        <f>Zyklusvergleich!$B$181</f>
        <v/>
      </c>
      <c r="E12" s="10">
        <f>Zyklusvergleich!$B$189</f>
        <v/>
      </c>
      <c r="F12" s="8">
        <f>Zyklusvergleich!$B$182</f>
        <v/>
      </c>
      <c r="G12" s="8">
        <f>Zyklusvergleich!$B$184</f>
        <v/>
      </c>
      <c r="H12" s="8">
        <f>Zyklusvergleich!$B$185</f>
        <v/>
      </c>
      <c r="I12" s="8">
        <f>Zyklusvergleich!$B$186</f>
        <v/>
      </c>
      <c r="J12" s="11">
        <f>Zyklusvergleich!$B$178</f>
        <v/>
      </c>
      <c r="K12" s="8">
        <f>Zyklusvergleich!$C$179</f>
        <v/>
      </c>
      <c r="L12" s="8">
        <f>Zyklusvergleich!$C$180</f>
        <v/>
      </c>
      <c r="M12" s="9">
        <f>Zyklusvergleich!$C$181</f>
        <v/>
      </c>
      <c r="N12" s="10">
        <f>Zyklusvergleich!$C$189</f>
        <v/>
      </c>
      <c r="O12" s="8">
        <f>Zyklusvergleich!$C$182</f>
        <v/>
      </c>
      <c r="P12" s="8">
        <f>Zyklusvergleich!$C$184</f>
        <v/>
      </c>
      <c r="Q12" s="8">
        <f>Zyklusvergleich!$C$185</f>
        <v/>
      </c>
      <c r="R12" s="8">
        <f>Zyklusvergleich!$C$186</f>
        <v/>
      </c>
      <c r="S12" s="11">
        <f>Zyklusvergleich!$C$178</f>
        <v/>
      </c>
      <c r="T12" s="8">
        <f>Zyklusvergleich!$D$179</f>
        <v/>
      </c>
      <c r="U12" s="8">
        <f>Zyklusvergleich!$D$180</f>
        <v/>
      </c>
      <c r="V12" s="9">
        <f>Zyklusvergleich!$D$181</f>
        <v/>
      </c>
      <c r="W12" s="10">
        <f>Zyklusvergleich!$D$189</f>
        <v/>
      </c>
      <c r="X12" s="8">
        <f>Zyklusvergleich!$D$182</f>
        <v/>
      </c>
      <c r="Y12" s="8">
        <f>Zyklusvergleich!$D$184</f>
        <v/>
      </c>
      <c r="Z12" s="8">
        <f>Zyklusvergleich!$D$185</f>
        <v/>
      </c>
      <c r="AA12" s="8">
        <f>Zyklusvergleich!$D$186</f>
        <v/>
      </c>
      <c r="AB12" s="11">
        <f>Zyklusvergleich!$D$178</f>
        <v/>
      </c>
    </row>
    <row r="13">
      <c r="A13" s="7" t="inlineStr">
        <is>
          <t>Schwankung in der Last, SD [W]</t>
        </is>
      </c>
      <c r="B13" s="13">
        <f>Zyklusvergleich!$B$206</f>
        <v/>
      </c>
      <c r="C13" s="13">
        <f>Zyklusvergleich!$B$207</f>
        <v/>
      </c>
      <c r="D13" s="14">
        <f>Zyklusvergleich!$B$208</f>
        <v/>
      </c>
      <c r="E13" s="10">
        <f>Zyklusvergleich!$B$216</f>
        <v/>
      </c>
      <c r="F13" s="13">
        <f>Zyklusvergleich!$B$209</f>
        <v/>
      </c>
      <c r="G13" s="13">
        <f>Zyklusvergleich!$B$211</f>
        <v/>
      </c>
      <c r="H13" s="13">
        <f>Zyklusvergleich!$B$212</f>
        <v/>
      </c>
      <c r="I13" s="13">
        <f>Zyklusvergleich!$B$213</f>
        <v/>
      </c>
      <c r="J13" s="11">
        <f>Zyklusvergleich!$B$205</f>
        <v/>
      </c>
      <c r="K13" s="13">
        <f>Zyklusvergleich!$C$206</f>
        <v/>
      </c>
      <c r="L13" s="13">
        <f>Zyklusvergleich!$C$207</f>
        <v/>
      </c>
      <c r="M13" s="14">
        <f>Zyklusvergleich!$C$208</f>
        <v/>
      </c>
      <c r="N13" s="10">
        <f>Zyklusvergleich!$C$216</f>
        <v/>
      </c>
      <c r="O13" s="13">
        <f>Zyklusvergleich!$C$209</f>
        <v/>
      </c>
      <c r="P13" s="13">
        <f>Zyklusvergleich!$C$211</f>
        <v/>
      </c>
      <c r="Q13" s="13">
        <f>Zyklusvergleich!$C$212</f>
        <v/>
      </c>
      <c r="R13" s="13">
        <f>Zyklusvergleich!$C$213</f>
        <v/>
      </c>
      <c r="S13" s="11">
        <f>Zyklusvergleich!$C$205</f>
        <v/>
      </c>
      <c r="T13" s="13">
        <f>Zyklusvergleich!$D$206</f>
        <v/>
      </c>
      <c r="U13" s="13">
        <f>Zyklusvergleich!$D$207</f>
        <v/>
      </c>
      <c r="V13" s="14">
        <f>Zyklusvergleich!$D$208</f>
        <v/>
      </c>
      <c r="W13" s="10">
        <f>Zyklusvergleich!$D$216</f>
        <v/>
      </c>
      <c r="X13" s="13">
        <f>Zyklusvergleich!$D$209</f>
        <v/>
      </c>
      <c r="Y13" s="13">
        <f>Zyklusvergleich!$D$211</f>
        <v/>
      </c>
      <c r="Z13" s="13">
        <f>Zyklusvergleich!$D$212</f>
        <v/>
      </c>
      <c r="AA13" s="13">
        <f>Zyklusvergleich!$D$213</f>
        <v/>
      </c>
      <c r="AB13" s="11">
        <f>Zyklusvergleich!$D$205</f>
        <v/>
      </c>
    </row>
    <row r="14">
      <c r="A14" s="7" t="inlineStr">
        <is>
          <t>Schwankung im Leerlauf, SD [W]</t>
        </is>
      </c>
      <c r="B14" s="13">
        <f>Zyklusvergleich!$B$233</f>
        <v/>
      </c>
      <c r="C14" s="13">
        <f>Zyklusvergleich!$B$234</f>
        <v/>
      </c>
      <c r="D14" s="14">
        <f>Zyklusvergleich!$B$235</f>
        <v/>
      </c>
      <c r="E14" s="10">
        <f>Zyklusvergleich!$B$243</f>
        <v/>
      </c>
      <c r="F14" s="13">
        <f>Zyklusvergleich!$B$236</f>
        <v/>
      </c>
      <c r="G14" s="13">
        <f>Zyklusvergleich!$B$238</f>
        <v/>
      </c>
      <c r="H14" s="13">
        <f>Zyklusvergleich!$B$239</f>
        <v/>
      </c>
      <c r="I14" s="13">
        <f>Zyklusvergleich!$B$240</f>
        <v/>
      </c>
      <c r="J14" s="11">
        <f>Zyklusvergleich!$B$232</f>
        <v/>
      </c>
      <c r="K14" s="13">
        <f>Zyklusvergleich!$C$233</f>
        <v/>
      </c>
      <c r="L14" s="13">
        <f>Zyklusvergleich!$C$234</f>
        <v/>
      </c>
      <c r="M14" s="14">
        <f>Zyklusvergleich!$C$235</f>
        <v/>
      </c>
      <c r="N14" s="10">
        <f>Zyklusvergleich!$C$243</f>
        <v/>
      </c>
      <c r="O14" s="13">
        <f>Zyklusvergleich!$C$236</f>
        <v/>
      </c>
      <c r="P14" s="13">
        <f>Zyklusvergleich!$C$238</f>
        <v/>
      </c>
      <c r="Q14" s="13">
        <f>Zyklusvergleich!$C$239</f>
        <v/>
      </c>
      <c r="R14" s="13">
        <f>Zyklusvergleich!$C$240</f>
        <v/>
      </c>
      <c r="S14" s="11">
        <f>Zyklusvergleich!$C$232</f>
        <v/>
      </c>
      <c r="T14" s="13">
        <f>Zyklusvergleich!$D$233</f>
        <v/>
      </c>
      <c r="U14" s="13">
        <f>Zyklusvergleich!$D$234</f>
        <v/>
      </c>
      <c r="V14" s="14">
        <f>Zyklusvergleich!$D$235</f>
        <v/>
      </c>
      <c r="W14" s="10">
        <f>Zyklusvergleich!$D$243</f>
        <v/>
      </c>
      <c r="X14" s="13">
        <f>Zyklusvergleich!$D$236</f>
        <v/>
      </c>
      <c r="Y14" s="13">
        <f>Zyklusvergleich!$D$238</f>
        <v/>
      </c>
      <c r="Z14" s="13">
        <f>Zyklusvergleich!$D$239</f>
        <v/>
      </c>
      <c r="AA14" s="13">
        <f>Zyklusvergleich!$D$240</f>
        <v/>
      </c>
      <c r="AB14" s="11">
        <f>Zyklusvergleich!$D$232</f>
        <v/>
      </c>
    </row>
    <row r="15">
      <c r="A15" s="7" t="inlineStr">
        <is>
          <t>Lastspitze [W]</t>
        </is>
      </c>
      <c r="B15" s="10">
        <f>Zyklusvergleich!$B$260</f>
        <v/>
      </c>
      <c r="C15" s="10">
        <f>Zyklusvergleich!$B$261</f>
        <v/>
      </c>
      <c r="D15" s="13">
        <f>Zyklusvergleich!$B$262</f>
        <v/>
      </c>
      <c r="E15" s="10">
        <f>Zyklusvergleich!$B$270</f>
        <v/>
      </c>
      <c r="F15" s="10">
        <f>Zyklusvergleich!$B$263</f>
        <v/>
      </c>
      <c r="G15" s="10">
        <f>Zyklusvergleich!$B$265</f>
        <v/>
      </c>
      <c r="H15" s="10">
        <f>Zyklusvergleich!$B$266</f>
        <v/>
      </c>
      <c r="I15" s="10">
        <f>Zyklusvergleich!$B$267</f>
        <v/>
      </c>
      <c r="J15" s="11">
        <f>Zyklusvergleich!$B$259</f>
        <v/>
      </c>
      <c r="K15" s="10">
        <f>Zyklusvergleich!$C$260</f>
        <v/>
      </c>
      <c r="L15" s="10">
        <f>Zyklusvergleich!$C$261</f>
        <v/>
      </c>
      <c r="M15" s="13">
        <f>Zyklusvergleich!$C$262</f>
        <v/>
      </c>
      <c r="N15" s="10">
        <f>Zyklusvergleich!$C$270</f>
        <v/>
      </c>
      <c r="O15" s="10">
        <f>Zyklusvergleich!$C$263</f>
        <v/>
      </c>
      <c r="P15" s="10">
        <f>Zyklusvergleich!$C$265</f>
        <v/>
      </c>
      <c r="Q15" s="10">
        <f>Zyklusvergleich!$C$266</f>
        <v/>
      </c>
      <c r="R15" s="10">
        <f>Zyklusvergleich!$C$267</f>
        <v/>
      </c>
      <c r="S15" s="11">
        <f>Zyklusvergleich!$C$259</f>
        <v/>
      </c>
      <c r="T15" s="10">
        <f>Zyklusvergleich!$D$260</f>
        <v/>
      </c>
      <c r="U15" s="10">
        <f>Zyklusvergleich!$D$261</f>
        <v/>
      </c>
      <c r="V15" s="13">
        <f>Zyklusvergleich!$D$262</f>
        <v/>
      </c>
      <c r="W15" s="10">
        <f>Zyklusvergleich!$D$270</f>
        <v/>
      </c>
      <c r="X15" s="10">
        <f>Zyklusvergleich!$D$263</f>
        <v/>
      </c>
      <c r="Y15" s="10">
        <f>Zyklusvergleich!$D$265</f>
        <v/>
      </c>
      <c r="Z15" s="10">
        <f>Zyklusvergleich!$D$266</f>
        <v/>
      </c>
      <c r="AA15" s="10">
        <f>Zyklusvergleich!$D$267</f>
        <v/>
      </c>
      <c r="AB15" s="11">
        <f>Zyklusvergleich!$D$259</f>
        <v/>
      </c>
    </row>
    <row r="16">
      <c r="A16" s="7" t="inlineStr">
        <is>
          <t>Einschwingspitze [W]</t>
        </is>
      </c>
      <c r="B16" s="10">
        <f>Zyklusvergleich!$B$287</f>
        <v/>
      </c>
      <c r="C16" s="10">
        <f>Zyklusvergleich!$B$288</f>
        <v/>
      </c>
      <c r="D16" s="13">
        <f>Zyklusvergleich!$B$289</f>
        <v/>
      </c>
      <c r="E16" s="10">
        <f>Zyklusvergleich!$B$297</f>
        <v/>
      </c>
      <c r="F16" s="10">
        <f>Zyklusvergleich!$B$290</f>
        <v/>
      </c>
      <c r="G16" s="10">
        <f>Zyklusvergleich!$B$292</f>
        <v/>
      </c>
      <c r="H16" s="10">
        <f>Zyklusvergleich!$B$293</f>
        <v/>
      </c>
      <c r="I16" s="10">
        <f>Zyklusvergleich!$B$294</f>
        <v/>
      </c>
      <c r="J16" s="11">
        <f>Zyklusvergleich!$B$286</f>
        <v/>
      </c>
      <c r="K16" s="10">
        <f>Zyklusvergleich!$C$287</f>
        <v/>
      </c>
      <c r="L16" s="10">
        <f>Zyklusvergleich!$C$288</f>
        <v/>
      </c>
      <c r="M16" s="13">
        <f>Zyklusvergleich!$C$289</f>
        <v/>
      </c>
      <c r="N16" s="10">
        <f>Zyklusvergleich!$C$297</f>
        <v/>
      </c>
      <c r="O16" s="10">
        <f>Zyklusvergleich!$C$290</f>
        <v/>
      </c>
      <c r="P16" s="10">
        <f>Zyklusvergleich!$C$292</f>
        <v/>
      </c>
      <c r="Q16" s="10">
        <f>Zyklusvergleich!$C$293</f>
        <v/>
      </c>
      <c r="R16" s="10">
        <f>Zyklusvergleich!$C$294</f>
        <v/>
      </c>
      <c r="S16" s="11">
        <f>Zyklusvergleich!$C$286</f>
        <v/>
      </c>
      <c r="T16" s="10">
        <f>Zyklusvergleich!$D$287</f>
        <v/>
      </c>
      <c r="U16" s="10">
        <f>Zyklusvergleich!$D$288</f>
        <v/>
      </c>
      <c r="V16" s="13">
        <f>Zyklusvergleich!$D$289</f>
        <v/>
      </c>
      <c r="W16" s="10">
        <f>Zyklusvergleich!$D$297</f>
        <v/>
      </c>
      <c r="X16" s="10">
        <f>Zyklusvergleich!$D$290</f>
        <v/>
      </c>
      <c r="Y16" s="10">
        <f>Zyklusvergleich!$D$292</f>
        <v/>
      </c>
      <c r="Z16" s="10">
        <f>Zyklusvergleich!$D$293</f>
        <v/>
      </c>
      <c r="AA16" s="10">
        <f>Zyklusvergleich!$D$294</f>
        <v/>
      </c>
      <c r="AB16" s="11">
        <f>Zyklusvergleich!$D$286</f>
        <v/>
      </c>
    </row>
    <row r="17">
      <c r="A17" s="7" t="inlineStr">
        <is>
          <t>FurMark-Score</t>
        </is>
      </c>
      <c r="B17" s="8">
        <f>Zyklusvergleich!$B$314</f>
        <v/>
      </c>
      <c r="C17" s="8">
        <f>Zyklusvergleich!$B$315</f>
        <v/>
      </c>
      <c r="D17" s="9">
        <f>Zyklusvergleich!$B$316</f>
        <v/>
      </c>
      <c r="E17" s="10">
        <f>Zyklusvergleich!$B$324</f>
        <v/>
      </c>
      <c r="F17" s="8">
        <f>Zyklusvergleich!$B$317</f>
        <v/>
      </c>
      <c r="G17" s="8">
        <f>Zyklusvergleich!$B$319</f>
        <v/>
      </c>
      <c r="H17" s="8">
        <f>Zyklusvergleich!$B$320</f>
        <v/>
      </c>
      <c r="I17" s="8">
        <f>Zyklusvergleich!$B$321</f>
        <v/>
      </c>
      <c r="J17" s="11">
        <f>Zyklusvergleich!$B$313</f>
        <v/>
      </c>
      <c r="K17" s="8">
        <f>Zyklusvergleich!$C$314</f>
        <v/>
      </c>
      <c r="L17" s="8">
        <f>Zyklusvergleich!$C$315</f>
        <v/>
      </c>
      <c r="M17" s="9">
        <f>Zyklusvergleich!$C$316</f>
        <v/>
      </c>
      <c r="N17" s="10">
        <f>Zyklusvergleich!$C$324</f>
        <v/>
      </c>
      <c r="O17" s="8">
        <f>Zyklusvergleich!$C$317</f>
        <v/>
      </c>
      <c r="P17" s="8">
        <f>Zyklusvergleich!$C$319</f>
        <v/>
      </c>
      <c r="Q17" s="8">
        <f>Zyklusvergleich!$C$320</f>
        <v/>
      </c>
      <c r="R17" s="8">
        <f>Zyklusvergleich!$C$321</f>
        <v/>
      </c>
      <c r="S17" s="11">
        <f>Zyklusvergleich!$C$313</f>
        <v/>
      </c>
      <c r="T17" s="8">
        <f>Zyklusvergleich!$D$314</f>
        <v/>
      </c>
      <c r="U17" s="8">
        <f>Zyklusvergleich!$D$315</f>
        <v/>
      </c>
      <c r="V17" s="9">
        <f>Zyklusvergleich!$D$316</f>
        <v/>
      </c>
      <c r="W17" s="10">
        <f>Zyklusvergleich!$D$324</f>
        <v/>
      </c>
      <c r="X17" s="8">
        <f>Zyklusvergleich!$D$317</f>
        <v/>
      </c>
      <c r="Y17" s="8">
        <f>Zyklusvergleich!$D$319</f>
        <v/>
      </c>
      <c r="Z17" s="8">
        <f>Zyklusvergleich!$D$320</f>
        <v/>
      </c>
      <c r="AA17" s="8">
        <f>Zyklusvergleich!$D$321</f>
        <v/>
      </c>
      <c r="AB17" s="11">
        <f>Zyklusvergleich!$D$313</f>
        <v/>
      </c>
    </row>
    <row r="18">
      <c r="A18" s="7" t="inlineStr">
        <is>
          <t>Effizienz [J je Score-Punkt]</t>
        </is>
      </c>
      <c r="B18" s="13">
        <f>Zyklusvergleich!$B$341</f>
        <v/>
      </c>
      <c r="C18" s="13">
        <f>Zyklusvergleich!$B$342</f>
        <v/>
      </c>
      <c r="D18" s="14">
        <f>Zyklusvergleich!$B$343</f>
        <v/>
      </c>
      <c r="E18" s="10">
        <f>Zyklusvergleich!$B$351</f>
        <v/>
      </c>
      <c r="F18" s="13">
        <f>Zyklusvergleich!$B$344</f>
        <v/>
      </c>
      <c r="G18" s="13">
        <f>Zyklusvergleich!$B$346</f>
        <v/>
      </c>
      <c r="H18" s="13">
        <f>Zyklusvergleich!$B$347</f>
        <v/>
      </c>
      <c r="I18" s="13">
        <f>Zyklusvergleich!$B$348</f>
        <v/>
      </c>
      <c r="J18" s="11">
        <f>Zyklusvergleich!$B$340</f>
        <v/>
      </c>
      <c r="K18" s="13">
        <f>Zyklusvergleich!$C$341</f>
        <v/>
      </c>
      <c r="L18" s="13">
        <f>Zyklusvergleich!$C$342</f>
        <v/>
      </c>
      <c r="M18" s="14">
        <f>Zyklusvergleich!$C$343</f>
        <v/>
      </c>
      <c r="N18" s="10">
        <f>Zyklusvergleich!$C$351</f>
        <v/>
      </c>
      <c r="O18" s="13">
        <f>Zyklusvergleich!$C$344</f>
        <v/>
      </c>
      <c r="P18" s="13">
        <f>Zyklusvergleich!$C$346</f>
        <v/>
      </c>
      <c r="Q18" s="13">
        <f>Zyklusvergleich!$C$347</f>
        <v/>
      </c>
      <c r="R18" s="13">
        <f>Zyklusvergleich!$C$348</f>
        <v/>
      </c>
      <c r="S18" s="11">
        <f>Zyklusvergleich!$C$340</f>
        <v/>
      </c>
      <c r="T18" s="13">
        <f>Zyklusvergleich!$D$341</f>
        <v/>
      </c>
      <c r="U18" s="13">
        <f>Zyklusvergleich!$D$342</f>
        <v/>
      </c>
      <c r="V18" s="14">
        <f>Zyklusvergleich!$D$343</f>
        <v/>
      </c>
      <c r="W18" s="10">
        <f>Zyklusvergleich!$D$351</f>
        <v/>
      </c>
      <c r="X18" s="13">
        <f>Zyklusvergleich!$D$344</f>
        <v/>
      </c>
      <c r="Y18" s="13">
        <f>Zyklusvergleich!$D$346</f>
        <v/>
      </c>
      <c r="Z18" s="13">
        <f>Zyklusvergleich!$D$347</f>
        <v/>
      </c>
      <c r="AA18" s="13">
        <f>Zyklusvergleich!$D$348</f>
        <v/>
      </c>
      <c r="AB18" s="11">
        <f>Zyklusvergleich!$D$340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>
      <c r="A21" s="15" t="inlineStr">
        <is>
          <t>Rangfolge nach Mehrverbrauch unter Last (1 = sparsamster Treiber)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3" t="inlineStr">
        <is>
          <t>Treiber</t>
        </is>
      </c>
      <c r="B22" s="3" t="inlineStr">
        <is>
          <t>Delta Mittel [W]</t>
        </is>
      </c>
      <c r="C22" s="3" t="inlineStr">
        <is>
          <t>Rang</t>
        </is>
      </c>
      <c r="D22" s="3" t="inlineStr">
        <is>
          <t>Abstand zum sparsamsten [W]</t>
        </is>
      </c>
      <c r="E22" s="3" t="inlineStr">
        <is>
          <t>Zyklen mit kleinstem Delta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7" t="inlineStr">
        <is>
          <t>ALT (31.0.101.2115)</t>
        </is>
      </c>
      <c r="B23" s="8">
        <f>Zyklusvergleich!$B$125</f>
        <v/>
      </c>
      <c r="C23" s="7">
        <f>IF(B23="","",RANK(B23,$B$23:$B$25,1))</f>
        <v/>
      </c>
      <c r="D23" s="8">
        <f>IF(B23="","",B23-MIN($B$23:$B$25))</f>
        <v/>
      </c>
      <c r="E23" s="7">
        <f>Zyklusvergleich!$B$136</f>
        <v/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</row>
    <row r="24">
      <c r="A24" s="7" t="inlineStr">
        <is>
          <t>MITTEL (31.0.101.2135)</t>
        </is>
      </c>
      <c r="B24" s="8">
        <f>Zyklusvergleich!$C$125</f>
        <v/>
      </c>
      <c r="C24" s="7">
        <f>IF(B24="","",RANK(B24,$B$23:$B$25,1))</f>
        <v/>
      </c>
      <c r="D24" s="8">
        <f>IF(B24="","",B24-MIN($B$23:$B$25))</f>
        <v/>
      </c>
      <c r="E24" s="7">
        <f>Zyklusvergleich!$C$136</f>
        <v/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7" t="inlineStr">
        <is>
          <t>NEU (31.0.101.2141)</t>
        </is>
      </c>
      <c r="B25" s="8">
        <f>Zyklusvergleich!$D$125</f>
        <v/>
      </c>
      <c r="C25" s="7">
        <f>IF(B25="","",RANK(B25,$B$23:$B$25,1))</f>
        <v/>
      </c>
      <c r="D25" s="8">
        <f>IF(B25="","",B25-MIN($B$23:$B$25))</f>
        <v/>
      </c>
      <c r="E25" s="7">
        <f>Zyklusvergleich!$D$136</f>
        <v/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15" t="inlineStr">
        <is>
          <t>Erläuterung der Spalten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</row>
    <row r="29">
      <c r="A29" s="16" t="inlineStr">
        <is>
          <t>Mittel</t>
        </is>
      </c>
      <c r="B29" s="2" t="inlineStr">
        <is>
          <t>Mittelwert über alle verwerteten Zyklen.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16" t="inlineStr">
        <is>
          <t>SD</t>
        </is>
      </c>
      <c r="B30" s="2" t="inlineStr">
        <is>
          <t>Standardabweichung: typische Abweichung eines einzelnen Zyklus vom Mittelwert, in der Einheit der Kennzahl. Klein = Treiber verhält sich von Zyklus zu Zyklus gleich.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16" t="inlineStr">
        <is>
          <t>Varianz</t>
        </is>
      </c>
      <c r="B31" s="2" t="inlineStr">
        <is>
          <t>Quadrat der SD (Einheit zum Quadrat, z. B. W²). Gleiche Aussage wie die SD, aber schwerer zu deuten; Grundlage vieler statistischer Tests.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16" t="inlineStr">
        <is>
          <t>CV [%]</t>
        </is>
      </c>
      <c r="B32" s="2" t="inlineStr">
        <is>
          <t>Variationskoeffizient = SD / Mittelwert × 100. Relative Streuung; vergleichbar zwischen Treibern und Kennzahlen mit unterschiedlichem Niveau.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  <row r="33">
      <c r="A33" s="16" t="inlineStr">
        <is>
          <t>Spannweite</t>
        </is>
      </c>
      <c r="B33" s="2" t="inlineStr">
        <is>
          <t>Größter minus kleinster Zykluswert: die gesamte beobachtete Schwankungsbreite.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</row>
    <row r="34">
      <c r="A34" s="16" t="inlineStr">
        <is>
          <t>95-%-KI unten/oben</t>
        </is>
      </c>
      <c r="B34" s="2" t="inlineStr">
        <is>
          <t>Konfidenzintervall des MITTELWERTS: Bereich, in dem der wahre Mittelwert mit 95 % Sicherheit liegt. Beschreibt die Genauigkeit des Mittelwerts, nicht die Schwankung der Einzelwerte. Überlappen sich die Intervalle zweier Treiber nicht, unterscheiden sie sich deutlich.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16" t="inlineStr">
        <is>
          <t>Median</t>
        </is>
      </c>
      <c r="B35" s="2" t="inlineStr">
        <is>
          <t>mittlerer Wert der sortierten Zykluswerte, unempfindlich gegen Ausreißer.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16" t="inlineStr">
        <is>
          <t>n</t>
        </is>
      </c>
      <c r="B36" s="2" t="inlineStr">
        <is>
          <t>Anzahl verwerteter Zyklen.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</sheetData>
  <mergeCells count="4">
    <mergeCell ref="K4:S4"/>
    <mergeCell ref="A4:A5"/>
    <mergeCell ref="T4:AB4"/>
    <mergeCell ref="B4:J4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FurMark (Intel UHD 630): Stabilität der Treiber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inlineStr">
        <is>
          <t>Innerhalb = wie ruhig die Leistung während einer Phase ist (Mittel über die Zyklen). Zwischen = wie gut sich das Zyklusergebnis wiederholt. Kleinere Werte = stabiler. Alle Zahlen sind Verweise auf 'Zyklusvergleich'.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48" customHeight="1">
      <c r="A4" s="3" t="inlineStr">
        <is>
          <t>Treiber</t>
        </is>
      </c>
      <c r="B4" s="3" t="inlineStr">
        <is>
          <t>SD in der Last [W]</t>
        </is>
      </c>
      <c r="C4" s="3" t="inlineStr">
        <is>
          <t>CV in der Last [%]</t>
        </is>
      </c>
      <c r="D4" s="3" t="inlineStr">
        <is>
          <t>SD im Leerlauf [W]</t>
        </is>
      </c>
      <c r="E4" s="3" t="inlineStr">
        <is>
          <t>Last Ø: SD zw. Zyklen [W]</t>
        </is>
      </c>
      <c r="F4" s="3" t="inlineStr">
        <is>
          <t>Last Ø: Varianz [W²]</t>
        </is>
      </c>
      <c r="G4" s="3" t="inlineStr">
        <is>
          <t>Last Ø: CV zw. Zyklen [%]</t>
        </is>
      </c>
      <c r="H4" s="3" t="inlineStr">
        <is>
          <t>Last Ø: Spannweite [W]</t>
        </is>
      </c>
      <c r="I4" s="3" t="inlineStr">
        <is>
          <t>Delta: SD zw. Zyklen [W]</t>
        </is>
      </c>
      <c r="J4" s="3" t="inlineStr">
        <is>
          <t>Delta: Varianz [W²]</t>
        </is>
      </c>
      <c r="K4" s="3" t="inlineStr">
        <is>
          <t>Delta: CV zw. Zyklen [%]</t>
        </is>
      </c>
      <c r="L4" s="3" t="inlineStr">
        <is>
          <t>Delta: Spannweite [W]</t>
        </is>
      </c>
      <c r="M4" s="3" t="inlineStr">
        <is>
          <t>Rang Ruhe in der Last (1 = ruhigste)</t>
        </is>
      </c>
      <c r="N4" s="3" t="inlineStr">
        <is>
          <t>Rang Wiederholbarkeit Last (1 = stabilste)</t>
        </is>
      </c>
    </row>
    <row r="5">
      <c r="A5" s="7" t="inlineStr">
        <is>
          <t>ALT (31.0.101.2115)</t>
        </is>
      </c>
      <c r="B5" s="13">
        <f>Zyklusvergleich!$B$206</f>
        <v/>
      </c>
      <c r="C5" s="8">
        <f>Zyklusvergleich!$B$179</f>
        <v/>
      </c>
      <c r="D5" s="13">
        <f>Zyklusvergleich!$B$233</f>
        <v/>
      </c>
      <c r="E5" s="13">
        <f>Zyklusvergleich!$B$45</f>
        <v/>
      </c>
      <c r="F5" s="9">
        <f>Zyklusvergleich!$B$46</f>
        <v/>
      </c>
      <c r="G5" s="8">
        <f>Zyklusvergleich!$B$54</f>
        <v/>
      </c>
      <c r="H5" s="13">
        <f>Zyklusvergleich!$B$47</f>
        <v/>
      </c>
      <c r="I5" s="13">
        <f>Zyklusvergleich!$B$126</f>
        <v/>
      </c>
      <c r="J5" s="9">
        <f>Zyklusvergleich!$B$127</f>
        <v/>
      </c>
      <c r="K5" s="8">
        <f>Zyklusvergleich!$B$135</f>
        <v/>
      </c>
      <c r="L5" s="13">
        <f>Zyklusvergleich!$B$128</f>
        <v/>
      </c>
      <c r="M5" s="7">
        <f>IF(C5="","",RANK(C5,$C$5:$C$7,1))</f>
        <v/>
      </c>
      <c r="N5" s="7">
        <f>IF(G5="","",RANK(G5,$G$5:$G$7,1))</f>
        <v/>
      </c>
    </row>
    <row r="6">
      <c r="A6" s="7" t="inlineStr">
        <is>
          <t>MITTEL (31.0.101.2135)</t>
        </is>
      </c>
      <c r="B6" s="13">
        <f>Zyklusvergleich!$C$206</f>
        <v/>
      </c>
      <c r="C6" s="8">
        <f>Zyklusvergleich!$C$179</f>
        <v/>
      </c>
      <c r="D6" s="13">
        <f>Zyklusvergleich!$C$233</f>
        <v/>
      </c>
      <c r="E6" s="13">
        <f>Zyklusvergleich!$C$45</f>
        <v/>
      </c>
      <c r="F6" s="9">
        <f>Zyklusvergleich!$C$46</f>
        <v/>
      </c>
      <c r="G6" s="8">
        <f>Zyklusvergleich!$C$54</f>
        <v/>
      </c>
      <c r="H6" s="13">
        <f>Zyklusvergleich!$C$47</f>
        <v/>
      </c>
      <c r="I6" s="13">
        <f>Zyklusvergleich!$C$126</f>
        <v/>
      </c>
      <c r="J6" s="9">
        <f>Zyklusvergleich!$C$127</f>
        <v/>
      </c>
      <c r="K6" s="8">
        <f>Zyklusvergleich!$C$135</f>
        <v/>
      </c>
      <c r="L6" s="13">
        <f>Zyklusvergleich!$C$128</f>
        <v/>
      </c>
      <c r="M6" s="7">
        <f>IF(C6="","",RANK(C6,$C$5:$C$7,1))</f>
        <v/>
      </c>
      <c r="N6" s="7">
        <f>IF(G6="","",RANK(G6,$G$5:$G$7,1))</f>
        <v/>
      </c>
    </row>
    <row r="7">
      <c r="A7" s="7" t="inlineStr">
        <is>
          <t>NEU (31.0.101.2141)</t>
        </is>
      </c>
      <c r="B7" s="13">
        <f>Zyklusvergleich!$D$206</f>
        <v/>
      </c>
      <c r="C7" s="8">
        <f>Zyklusvergleich!$D$179</f>
        <v/>
      </c>
      <c r="D7" s="13">
        <f>Zyklusvergleich!$D$233</f>
        <v/>
      </c>
      <c r="E7" s="13">
        <f>Zyklusvergleich!$D$45</f>
        <v/>
      </c>
      <c r="F7" s="9">
        <f>Zyklusvergleich!$D$46</f>
        <v/>
      </c>
      <c r="G7" s="8">
        <f>Zyklusvergleich!$D$54</f>
        <v/>
      </c>
      <c r="H7" s="13">
        <f>Zyklusvergleich!$D$47</f>
        <v/>
      </c>
      <c r="I7" s="13">
        <f>Zyklusvergleich!$D$126</f>
        <v/>
      </c>
      <c r="J7" s="9">
        <f>Zyklusvergleich!$D$127</f>
        <v/>
      </c>
      <c r="K7" s="8">
        <f>Zyklusvergleich!$D$135</f>
        <v/>
      </c>
      <c r="L7" s="13">
        <f>Zyklusvergleich!$D$128</f>
        <v/>
      </c>
      <c r="M7" s="7">
        <f>IF(C7="","",RANK(C7,$C$5:$C$7,1))</f>
        <v/>
      </c>
      <c r="N7" s="7">
        <f>IF(G7="","",RANK(G7,$G$5:$G$7,1))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5" t="inlineStr">
        <is>
          <t>Unterscheidet sich die Stabilität signifikant?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Berechnet in Python mit scipy. Innerhalb: Kruskal-Wallis und Welch-Test auf die SD je Zyklus. Zwischen: Brown-Forsythe-Test (Levene mit Median) auf Gleichheit der Streuung. Paarweise p-Werte Holm-korrigiert.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3" t="inlineStr">
        <is>
          <t>Prüfgröße</t>
        </is>
      </c>
      <c r="B13" s="3" t="inlineStr">
        <is>
          <t>Test</t>
        </is>
      </c>
      <c r="C13" s="3" t="inlineStr">
        <is>
          <t>p global</t>
        </is>
      </c>
      <c r="D13" s="3" t="inlineStr">
        <is>
          <t>Vergleich</t>
        </is>
      </c>
      <c r="E13" s="3" t="inlineStr">
        <is>
          <t>Kennwert</t>
        </is>
      </c>
      <c r="F13" s="3" t="inlineStr">
        <is>
          <t>p (Holm)</t>
        </is>
      </c>
      <c r="G13" s="3" t="inlineStr">
        <is>
          <t>signifikant (5 %)</t>
        </is>
      </c>
      <c r="H13" s="2" t="n"/>
      <c r="I13" s="2" t="n"/>
      <c r="J13" s="2" t="n"/>
      <c r="K13" s="2" t="n"/>
      <c r="L13" s="2" t="n"/>
      <c r="M13" s="2" t="n"/>
      <c r="N13" s="2" t="n"/>
    </row>
    <row r="14" ht="40" customHeight="1">
      <c r="A14" s="17" t="inlineStr">
        <is>
          <t>Schwankung innerhalb der Last (SD je Zyklus)</t>
        </is>
      </c>
      <c r="B14" s="17" t="inlineStr">
        <is>
          <t>Kruskal-Wallis / Welch</t>
        </is>
      </c>
      <c r="C14" s="18" t="n">
        <v>0.6711855333861575</v>
      </c>
      <c r="D14" s="17" t="inlineStr">
        <is>
          <t>MITTEL (31.0.101.2135) vs. ALT (31.0.101.2115)</t>
        </is>
      </c>
      <c r="E14" s="19" t="n">
        <v>0.1165174830498958</v>
      </c>
      <c r="F14" s="18" t="n">
        <v>0.7826959176826298</v>
      </c>
      <c r="G14" s="2">
        <f>IF(F14="","",IF(F14&lt;0.05,"ja","nein"))</f>
        <v/>
      </c>
      <c r="H14" s="2" t="n"/>
      <c r="I14" s="2" t="n"/>
      <c r="J14" s="2" t="n"/>
      <c r="K14" s="2" t="n"/>
      <c r="L14" s="2" t="n"/>
      <c r="M14" s="2" t="n"/>
      <c r="N14" s="2" t="n"/>
    </row>
    <row r="15" ht="40" customHeight="1">
      <c r="A15" s="17" t="inlineStr">
        <is>
          <t>Schwankung innerhalb der Last (SD je Zyklus)</t>
        </is>
      </c>
      <c r="B15" s="17" t="inlineStr">
        <is>
          <t>Kruskal-Wallis / Welch</t>
        </is>
      </c>
      <c r="C15" s="18" t="n">
        <v>0.6711855333861575</v>
      </c>
      <c r="D15" s="17" t="inlineStr">
        <is>
          <t>NEU (31.0.101.2141) vs. ALT (31.0.101.2115)</t>
        </is>
      </c>
      <c r="E15" s="19" t="n">
        <v>0.1366331105275005</v>
      </c>
      <c r="F15" s="18" t="n">
        <v>0.7826959176826298</v>
      </c>
      <c r="G15" s="2">
        <f>IF(F15="","",IF(F15&lt;0.05,"ja","nein"))</f>
        <v/>
      </c>
      <c r="H15" s="2" t="n"/>
      <c r="I15" s="2" t="n"/>
      <c r="J15" s="2" t="n"/>
      <c r="K15" s="2" t="n"/>
      <c r="L15" s="2" t="n"/>
      <c r="M15" s="2" t="n"/>
      <c r="N15" s="2" t="n"/>
    </row>
    <row r="16" ht="40" customHeight="1">
      <c r="A16" s="17" t="inlineStr">
        <is>
          <t>Schwankung innerhalb der Last (SD je Zyklus)</t>
        </is>
      </c>
      <c r="B16" s="17" t="inlineStr">
        <is>
          <t>Kruskal-Wallis / Welch</t>
        </is>
      </c>
      <c r="C16" s="18" t="n">
        <v>0.6711855333861575</v>
      </c>
      <c r="D16" s="17" t="inlineStr">
        <is>
          <t>NEU (31.0.101.2141) vs. MITTEL (31.0.101.2135)</t>
        </is>
      </c>
      <c r="E16" s="19" t="n">
        <v>0.02011562747760465</v>
      </c>
      <c r="F16" s="18" t="n">
        <v>0.8902697419344815</v>
      </c>
      <c r="G16" s="2">
        <f>IF(F16="","",IF(F16&lt;0.05,"ja","nein"))</f>
        <v/>
      </c>
      <c r="H16" s="2" t="n"/>
      <c r="I16" s="2" t="n"/>
      <c r="J16" s="2" t="n"/>
      <c r="K16" s="2" t="n"/>
      <c r="L16" s="2" t="n"/>
      <c r="M16" s="2" t="n"/>
      <c r="N16" s="2" t="n"/>
    </row>
    <row r="17" ht="40" customHeight="1">
      <c r="A17" s="17" t="inlineStr">
        <is>
          <t>Wiederholbarkeit Last Ø zwischen den Zyklen</t>
        </is>
      </c>
      <c r="B17" s="17" t="inlineStr">
        <is>
          <t>Brown-Forsythe (Levene, Median)</t>
        </is>
      </c>
      <c r="C17" s="18" t="n">
        <v>0.7076280996605293</v>
      </c>
      <c r="D17" s="17" t="inlineStr">
        <is>
          <t>MITTEL (31.0.101.2135) vs. ALT (31.0.101.2115)</t>
        </is>
      </c>
      <c r="E17" s="19" t="n">
        <v>0.5412956739371577</v>
      </c>
      <c r="F17" s="18" t="n">
        <v>1</v>
      </c>
      <c r="G17" s="2">
        <f>IF(F17="","",IF(F17&lt;0.05,"ja","nein"))</f>
        <v/>
      </c>
      <c r="H17" s="2" t="n"/>
      <c r="I17" s="2" t="n"/>
      <c r="J17" s="2" t="n"/>
      <c r="K17" s="2" t="n"/>
      <c r="L17" s="2" t="n"/>
      <c r="M17" s="2" t="n"/>
      <c r="N17" s="2" t="n"/>
    </row>
    <row r="18" ht="40" customHeight="1">
      <c r="A18" s="17" t="inlineStr">
        <is>
          <t>Wiederholbarkeit Last Ø zwischen den Zyklen</t>
        </is>
      </c>
      <c r="B18" s="17" t="inlineStr">
        <is>
          <t>Brown-Forsythe (Levene, Median)</t>
        </is>
      </c>
      <c r="C18" s="18" t="n">
        <v>0.7076280996605293</v>
      </c>
      <c r="D18" s="17" t="inlineStr">
        <is>
          <t>NEU (31.0.101.2141) vs. ALT (31.0.101.2115)</t>
        </is>
      </c>
      <c r="E18" s="19" t="n">
        <v>0.6433546091566109</v>
      </c>
      <c r="F18" s="18" t="n">
        <v>1</v>
      </c>
      <c r="G18" s="2">
        <f>IF(F18="","",IF(F18&lt;0.05,"ja","nein"))</f>
        <v/>
      </c>
      <c r="H18" s="2" t="n"/>
      <c r="I18" s="2" t="n"/>
      <c r="J18" s="2" t="n"/>
      <c r="K18" s="2" t="n"/>
      <c r="L18" s="2" t="n"/>
      <c r="M18" s="2" t="n"/>
      <c r="N18" s="2" t="n"/>
    </row>
    <row r="19" ht="40" customHeight="1">
      <c r="A19" s="17" t="inlineStr">
        <is>
          <t>Wiederholbarkeit Last Ø zwischen den Zyklen</t>
        </is>
      </c>
      <c r="B19" s="17" t="inlineStr">
        <is>
          <t>Brown-Forsythe (Levene, Median)</t>
        </is>
      </c>
      <c r="C19" s="18" t="n">
        <v>0.7076280996605293</v>
      </c>
      <c r="D19" s="17" t="inlineStr">
        <is>
          <t>NEU (31.0.101.2141) vs. MITTEL (31.0.101.2135)</t>
        </is>
      </c>
      <c r="E19" s="19" t="n">
        <v>1.188545632513778</v>
      </c>
      <c r="F19" s="18" t="n">
        <v>1</v>
      </c>
      <c r="G19" s="2">
        <f>IF(F19="","",IF(F19&lt;0.05,"ja","nein"))</f>
        <v/>
      </c>
      <c r="H19" s="2" t="n"/>
      <c r="I19" s="2" t="n"/>
      <c r="J19" s="2" t="n"/>
      <c r="K19" s="2" t="n"/>
      <c r="L19" s="2" t="n"/>
      <c r="M19" s="2" t="n"/>
      <c r="N19" s="2" t="n"/>
    </row>
    <row r="20" ht="40" customHeight="1">
      <c r="A20" s="17" t="inlineStr">
        <is>
          <t>Wiederholbarkeit Mehrverbrauch zwischen den Zyklen</t>
        </is>
      </c>
      <c r="B20" s="17" t="inlineStr">
        <is>
          <t>Brown-Forsythe (Levene, Median)</t>
        </is>
      </c>
      <c r="C20" s="18" t="n">
        <v>0.4654632620939416</v>
      </c>
      <c r="D20" s="17" t="inlineStr">
        <is>
          <t>MITTEL (31.0.101.2135) vs. ALT (31.0.101.2115)</t>
        </is>
      </c>
      <c r="E20" s="19" t="n">
        <v>2.043127331344561</v>
      </c>
      <c r="F20" s="18" t="n">
        <v>0.8633295575013836</v>
      </c>
      <c r="G20" s="2">
        <f>IF(F20="","",IF(F20&lt;0.05,"ja","nein"))</f>
        <v/>
      </c>
      <c r="H20" s="2" t="n"/>
      <c r="I20" s="2" t="n"/>
      <c r="J20" s="2" t="n"/>
      <c r="K20" s="2" t="n"/>
      <c r="L20" s="2" t="n"/>
      <c r="M20" s="2" t="n"/>
      <c r="N20" s="2" t="n"/>
    </row>
    <row r="21" ht="40" customHeight="1">
      <c r="A21" s="17" t="inlineStr">
        <is>
          <t>Wiederholbarkeit Mehrverbrauch zwischen den Zyklen</t>
        </is>
      </c>
      <c r="B21" s="17" t="inlineStr">
        <is>
          <t>Brown-Forsythe (Levene, Median)</t>
        </is>
      </c>
      <c r="C21" s="18" t="n">
        <v>0.4654632620939416</v>
      </c>
      <c r="D21" s="17" t="inlineStr">
        <is>
          <t>NEU (31.0.101.2141) vs. ALT (31.0.101.2115)</t>
        </is>
      </c>
      <c r="E21" s="19" t="n">
        <v>3.355563431067353</v>
      </c>
      <c r="F21" s="18" t="n">
        <v>0.7684990358692444</v>
      </c>
      <c r="G21" s="2">
        <f>IF(F21="","",IF(F21&lt;0.05,"ja","nein"))</f>
        <v/>
      </c>
      <c r="H21" s="2" t="n"/>
      <c r="I21" s="2" t="n"/>
      <c r="J21" s="2" t="n"/>
      <c r="K21" s="2" t="n"/>
      <c r="L21" s="2" t="n"/>
      <c r="M21" s="2" t="n"/>
      <c r="N21" s="2" t="n"/>
    </row>
    <row r="22" ht="40" customHeight="1">
      <c r="A22" s="17" t="inlineStr">
        <is>
          <t>Wiederholbarkeit Mehrverbrauch zwischen den Zyklen</t>
        </is>
      </c>
      <c r="B22" s="17" t="inlineStr">
        <is>
          <t>Brown-Forsythe (Levene, Median)</t>
        </is>
      </c>
      <c r="C22" s="18" t="n">
        <v>0.4654632620939416</v>
      </c>
      <c r="D22" s="17" t="inlineStr">
        <is>
          <t>NEU (31.0.101.2141) vs. MITTEL (31.0.101.2135)</t>
        </is>
      </c>
      <c r="E22" s="19" t="n">
        <v>1.642366278199162</v>
      </c>
      <c r="F22" s="18" t="n">
        <v>0.8633295575013836</v>
      </c>
      <c r="G22" s="2">
        <f>IF(F22="","",IF(F22&lt;0.05,"ja","nein"))</f>
        <v/>
      </c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Kennwert: bei 'innerhalb' die Differenz der mittleren SD (B − A, in W); bei 'Wiederholbarkeit' das Verhältnis der SD (B / A, 2 = doppelt so starke Streuung).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  <col width="42" customWidth="1" min="8" max="8"/>
  </cols>
  <sheetData>
    <row r="1">
      <c r="A1" s="1" t="inlineStr">
        <is>
          <t>FurMark (Intel UHD 630): zyklusweiser Treibervergleich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Leere Zelle = Zyklus nicht verwertet (Grund in 'Hinweis'). Die grau hinterlegten Kennzahlen sind Formeln über die verwerteten Zyklen; grün = kleinster Wert im Zyklus.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5" t="inlineStr">
        <is>
          <t>Leerlauf vor [W]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Zyklus</t>
        </is>
      </c>
      <c r="B5" s="3" t="inlineStr">
        <is>
          <t>ALT (31.0.101.2115)</t>
        </is>
      </c>
      <c r="C5" s="3" t="inlineStr">
        <is>
          <t>MITTEL (31.0.101.2135)</t>
        </is>
      </c>
      <c r="D5" s="3" t="inlineStr">
        <is>
          <t>NEU (31.0.101.2141)</t>
        </is>
      </c>
      <c r="E5" s="3" t="inlineStr">
        <is>
          <t>Kleinster Wert</t>
        </is>
      </c>
      <c r="F5" s="3" t="inlineStr">
        <is>
          <t>MITTEL (31.0.101.2135) − ALT (31.0.101.2115)</t>
        </is>
      </c>
      <c r="G5" s="3" t="inlineStr">
        <is>
          <t>NEU (31.0.101.2141) − ALT (31.0.101.2115)</t>
        </is>
      </c>
      <c r="H5" s="3" t="inlineStr">
        <is>
          <t>Hinweis</t>
        </is>
      </c>
    </row>
    <row r="6">
      <c r="A6" s="7" t="n">
        <v>1</v>
      </c>
      <c r="B6" s="8" t="n">
        <v>9.147432999999999</v>
      </c>
      <c r="C6" s="8" t="n">
        <v>10.651241</v>
      </c>
      <c r="D6" s="8" t="n">
        <v>12.13915</v>
      </c>
      <c r="E6" s="7">
        <f>IF(COUNT(B6:D6)=0,"",INDEX($B$5:$D$5,MATCH(MIN(B6:D6),B6:D6,0)))</f>
        <v/>
      </c>
      <c r="F6" s="8">
        <f>IF(OR(C6="",B6=""),"",C6-B6)</f>
        <v/>
      </c>
      <c r="G6" s="8">
        <f>IF(OR(D6="",B6=""),"",D6-B6)</f>
        <v/>
      </c>
      <c r="H6" s="2" t="inlineStr"/>
    </row>
    <row r="7">
      <c r="A7" s="7" t="n">
        <v>2</v>
      </c>
      <c r="B7" s="8" t="n">
        <v>9.025096</v>
      </c>
      <c r="C7" s="8" t="n">
        <v>8.150762</v>
      </c>
      <c r="D7" s="8" t="n">
        <v>9.028005</v>
      </c>
      <c r="E7" s="7">
        <f>IF(COUNT(B7:D7)=0,"",INDEX($B$5:$D$5,MATCH(MIN(B7:D7),B7:D7,0)))</f>
        <v/>
      </c>
      <c r="F7" s="8">
        <f>IF(OR(C7="",B7=""),"",C7-B7)</f>
        <v/>
      </c>
      <c r="G7" s="8">
        <f>IF(OR(D7="",B7=""),"",D7-B7)</f>
        <v/>
      </c>
      <c r="H7" s="2" t="inlineStr"/>
    </row>
    <row r="8">
      <c r="A8" s="7" t="n">
        <v>3</v>
      </c>
      <c r="B8" s="8" t="n">
        <v>9.368392999999999</v>
      </c>
      <c r="C8" s="8" t="n">
        <v>8.140231</v>
      </c>
      <c r="D8" s="8" t="n">
        <v>8.514878</v>
      </c>
      <c r="E8" s="7">
        <f>IF(COUNT(B8:D8)=0,"",INDEX($B$5:$D$5,MATCH(MIN(B8:D8),B8:D8,0)))</f>
        <v/>
      </c>
      <c r="F8" s="8">
        <f>IF(OR(C8="",B8=""),"",C8-B8)</f>
        <v/>
      </c>
      <c r="G8" s="8">
        <f>IF(OR(D8="",B8=""),"",D8-B8)</f>
        <v/>
      </c>
      <c r="H8" s="2" t="inlineStr"/>
    </row>
    <row r="9">
      <c r="A9" s="7" t="n">
        <v>4</v>
      </c>
      <c r="B9" s="8" t="n">
        <v>9.359268</v>
      </c>
      <c r="C9" s="8" t="n">
        <v>7.891929</v>
      </c>
      <c r="D9" s="8" t="n">
        <v>8.111393</v>
      </c>
      <c r="E9" s="7">
        <f>IF(COUNT(B9:D9)=0,"",INDEX($B$5:$D$5,MATCH(MIN(B9:D9),B9:D9,0)))</f>
        <v/>
      </c>
      <c r="F9" s="8">
        <f>IF(OR(C9="",B9=""),"",C9-B9)</f>
        <v/>
      </c>
      <c r="G9" s="8">
        <f>IF(OR(D9="",B9=""),"",D9-B9)</f>
        <v/>
      </c>
      <c r="H9" s="2" t="inlineStr"/>
    </row>
    <row r="10">
      <c r="A10" s="7" t="n">
        <v>5</v>
      </c>
      <c r="B10" s="8" t="n">
        <v>9.514106999999999</v>
      </c>
      <c r="C10" s="8" t="n">
        <v>7.9202</v>
      </c>
      <c r="D10" s="8" t="n">
        <v>8.047008</v>
      </c>
      <c r="E10" s="7">
        <f>IF(COUNT(B10:D10)=0,"",INDEX($B$5:$D$5,MATCH(MIN(B10:D10),B10:D10,0)))</f>
        <v/>
      </c>
      <c r="F10" s="8">
        <f>IF(OR(C10="",B10=""),"",C10-B10)</f>
        <v/>
      </c>
      <c r="G10" s="8">
        <f>IF(OR(D10="",B10=""),"",D10-B10)</f>
        <v/>
      </c>
      <c r="H10" s="2" t="inlineStr"/>
    </row>
    <row r="11">
      <c r="A11" s="7" t="n">
        <v>6</v>
      </c>
      <c r="B11" s="8" t="n">
        <v>9.385517999999999</v>
      </c>
      <c r="C11" s="8" t="n">
        <v>8.081882</v>
      </c>
      <c r="D11" s="8" t="n">
        <v>7.792365</v>
      </c>
      <c r="E11" s="7">
        <f>IF(COUNT(B11:D11)=0,"",INDEX($B$5:$D$5,MATCH(MIN(B11:D11),B11:D11,0)))</f>
        <v/>
      </c>
      <c r="F11" s="8">
        <f>IF(OR(C11="",B11=""),"",C11-B11)</f>
        <v/>
      </c>
      <c r="G11" s="8">
        <f>IF(OR(D11="",B11=""),"",D11-B11)</f>
        <v/>
      </c>
      <c r="H11" s="2" t="inlineStr"/>
    </row>
    <row r="12">
      <c r="A12" s="7" t="n">
        <v>7</v>
      </c>
      <c r="B12" s="8" t="n">
        <v>9.478637000000001</v>
      </c>
      <c r="C12" s="8" t="n">
        <v>7.898133</v>
      </c>
      <c r="D12" s="8" t="n">
        <v>7.798911</v>
      </c>
      <c r="E12" s="7">
        <f>IF(COUNT(B12:D12)=0,"",INDEX($B$5:$D$5,MATCH(MIN(B12:D12),B12:D12,0)))</f>
        <v/>
      </c>
      <c r="F12" s="8">
        <f>IF(OR(C12="",B12=""),"",C12-B12)</f>
        <v/>
      </c>
      <c r="G12" s="8">
        <f>IF(OR(D12="",B12=""),"",D12-B12)</f>
        <v/>
      </c>
      <c r="H12" s="2" t="inlineStr"/>
    </row>
    <row r="13">
      <c r="A13" s="7" t="n">
        <v>8</v>
      </c>
      <c r="B13" s="8" t="n">
        <v>9.237428</v>
      </c>
      <c r="C13" s="8" t="n">
        <v>7.755428</v>
      </c>
      <c r="D13" s="8" t="n">
        <v>7.969583</v>
      </c>
      <c r="E13" s="7">
        <f>IF(COUNT(B13:D13)=0,"",INDEX($B$5:$D$5,MATCH(MIN(B13:D13),B13:D13,0)))</f>
        <v/>
      </c>
      <c r="F13" s="8">
        <f>IF(OR(C13="",B13=""),"",C13-B13)</f>
        <v/>
      </c>
      <c r="G13" s="8">
        <f>IF(OR(D13="",B13=""),"",D13-B13)</f>
        <v/>
      </c>
      <c r="H13" s="2" t="inlineStr"/>
    </row>
    <row r="14">
      <c r="A14" s="7" t="n">
        <v>9</v>
      </c>
      <c r="B14" s="8" t="n">
        <v>8.916174</v>
      </c>
      <c r="C14" s="8" t="n">
        <v>7.941778</v>
      </c>
      <c r="D14" s="8" t="n">
        <v>7.843114</v>
      </c>
      <c r="E14" s="7">
        <f>IF(COUNT(B14:D14)=0,"",INDEX($B$5:$D$5,MATCH(MIN(B14:D14),B14:D14,0)))</f>
        <v/>
      </c>
      <c r="F14" s="8">
        <f>IF(OR(C14="",B14=""),"",C14-B14)</f>
        <v/>
      </c>
      <c r="G14" s="8">
        <f>IF(OR(D14="",B14=""),"",D14-B14)</f>
        <v/>
      </c>
      <c r="H14" s="2" t="inlineStr"/>
    </row>
    <row r="15">
      <c r="A15" s="7" t="n">
        <v>10</v>
      </c>
      <c r="B15" s="8" t="n">
        <v>9.332763999999999</v>
      </c>
      <c r="C15" s="8" t="n">
        <v>7.560388</v>
      </c>
      <c r="D15" s="8" t="n">
        <v>8.060650000000001</v>
      </c>
      <c r="E15" s="7">
        <f>IF(COUNT(B15:D15)=0,"",INDEX($B$5:$D$5,MATCH(MIN(B15:D15),B15:D15,0)))</f>
        <v/>
      </c>
      <c r="F15" s="8">
        <f>IF(OR(C15="",B15=""),"",C15-B15)</f>
        <v/>
      </c>
      <c r="G15" s="8">
        <f>IF(OR(D15="",B15=""),"",D15-B15)</f>
        <v/>
      </c>
      <c r="H15" s="2" t="inlineStr"/>
    </row>
    <row r="16">
      <c r="A16" s="20" t="inlineStr">
        <is>
          <t>n</t>
        </is>
      </c>
      <c r="B16" s="21">
        <f>COUNT(B6:B15)</f>
        <v/>
      </c>
      <c r="C16" s="21">
        <f>COUNT(C6:C15)</f>
        <v/>
      </c>
      <c r="D16" s="21">
        <f>COUNT(D6:D15)</f>
        <v/>
      </c>
      <c r="E16" s="2" t="n"/>
      <c r="F16" s="21">
        <f>COUNT(F6:F15)</f>
        <v/>
      </c>
      <c r="G16" s="21">
        <f>COUNT(G6:G15)</f>
        <v/>
      </c>
      <c r="H16" s="2" t="n"/>
    </row>
    <row r="17">
      <c r="A17" s="20" t="inlineStr">
        <is>
          <t>Mittelwert</t>
        </is>
      </c>
      <c r="B17" s="22">
        <f>IF(B16=0,"",AVERAGE(B6:B15))</f>
        <v/>
      </c>
      <c r="C17" s="22">
        <f>IF(C16=0,"",AVERAGE(C6:C15))</f>
        <v/>
      </c>
      <c r="D17" s="22">
        <f>IF(D16=0,"",AVERAGE(D6:D15))</f>
        <v/>
      </c>
      <c r="E17" s="2" t="n"/>
      <c r="F17" s="22">
        <f>IF(F16=0,"",AVERAGE(F6:F15))</f>
        <v/>
      </c>
      <c r="G17" s="22">
        <f>IF(G16=0,"",AVERAGE(G6:G15))</f>
        <v/>
      </c>
      <c r="H17" s="2" t="n"/>
    </row>
    <row r="18">
      <c r="A18" s="20" t="inlineStr">
        <is>
          <t>Standardabweichung</t>
        </is>
      </c>
      <c r="B18" s="22">
        <f>IF(B16&lt;2,"",STDEV(B6:B15))</f>
        <v/>
      </c>
      <c r="C18" s="22">
        <f>IF(C16&lt;2,"",STDEV(C6:C15))</f>
        <v/>
      </c>
      <c r="D18" s="22">
        <f>IF(D16&lt;2,"",STDEV(D6:D15))</f>
        <v/>
      </c>
      <c r="E18" s="2" t="n"/>
      <c r="F18" s="22">
        <f>IF(F16&lt;2,"",STDEV(F6:F15))</f>
        <v/>
      </c>
      <c r="G18" s="22">
        <f>IF(G16&lt;2,"",STDEV(G6:G15))</f>
        <v/>
      </c>
      <c r="H18" s="2" t="n"/>
    </row>
    <row r="19">
      <c r="A19" s="20" t="inlineStr">
        <is>
          <t>Varianz</t>
        </is>
      </c>
      <c r="B19" s="23">
        <f>IF(B16&lt;2,"",VAR(B6:B15))</f>
        <v/>
      </c>
      <c r="C19" s="23">
        <f>IF(C16&lt;2,"",VAR(C6:C15))</f>
        <v/>
      </c>
      <c r="D19" s="23">
        <f>IF(D16&lt;2,"",VAR(D6:D15))</f>
        <v/>
      </c>
      <c r="E19" s="2" t="n"/>
      <c r="F19" s="23">
        <f>IF(F16&lt;2,"",VAR(F6:F15))</f>
        <v/>
      </c>
      <c r="G19" s="23">
        <f>IF(G16&lt;2,"",VAR(G6:G15))</f>
        <v/>
      </c>
      <c r="H19" s="2" t="n"/>
    </row>
    <row r="20">
      <c r="A20" s="20" t="inlineStr">
        <is>
          <t>Spannweite</t>
        </is>
      </c>
      <c r="B20" s="22">
        <f>IF(B16=0,"",MAX(B6:B15)-MIN(B6:B15))</f>
        <v/>
      </c>
      <c r="C20" s="22">
        <f>IF(C16=0,"",MAX(C6:C15)-MIN(C6:C15))</f>
        <v/>
      </c>
      <c r="D20" s="22">
        <f>IF(D16=0,"",MAX(D6:D15)-MIN(D6:D15))</f>
        <v/>
      </c>
      <c r="E20" s="2" t="n"/>
      <c r="F20" s="22">
        <f>IF(F16=0,"",MAX(F6:F15)-MIN(F6:F15))</f>
        <v/>
      </c>
      <c r="G20" s="22">
        <f>IF(G16=0,"",MAX(G6:G15)-MIN(G6:G15))</f>
        <v/>
      </c>
      <c r="H20" s="2" t="n"/>
    </row>
    <row r="21">
      <c r="A21" s="20" t="inlineStr">
        <is>
          <t>95-%-KI ±</t>
        </is>
      </c>
      <c r="B21" s="22">
        <f>IF(B16&lt;2,"",TINV(0.05,B16-1)*B18/SQRT(B16))</f>
        <v/>
      </c>
      <c r="C21" s="22">
        <f>IF(C16&lt;2,"",TINV(0.05,C16-1)*C18/SQRT(C16))</f>
        <v/>
      </c>
      <c r="D21" s="22">
        <f>IF(D16&lt;2,"",TINV(0.05,D16-1)*D18/SQRT(D16))</f>
        <v/>
      </c>
      <c r="E21" s="2" t="n"/>
      <c r="F21" s="22">
        <f>IF(F16&lt;2,"",TINV(0.05,F16-1)*F18/SQRT(F16))</f>
        <v/>
      </c>
      <c r="G21" s="22">
        <f>IF(G16&lt;2,"",TINV(0.05,G16-1)*G18/SQRT(G16))</f>
        <v/>
      </c>
      <c r="H21" s="2" t="n"/>
    </row>
    <row r="22">
      <c r="A22" s="20" t="inlineStr">
        <is>
          <t>KI unten</t>
        </is>
      </c>
      <c r="B22" s="22">
        <f>IF(B16&lt;2,"",B17-B21)</f>
        <v/>
      </c>
      <c r="C22" s="22">
        <f>IF(C16&lt;2,"",C17-C21)</f>
        <v/>
      </c>
      <c r="D22" s="22">
        <f>IF(D16&lt;2,"",D17-D21)</f>
        <v/>
      </c>
      <c r="E22" s="2" t="n"/>
      <c r="F22" s="22">
        <f>IF(F16&lt;2,"",F17-F21)</f>
        <v/>
      </c>
      <c r="G22" s="22">
        <f>IF(G16&lt;2,"",G17-G21)</f>
        <v/>
      </c>
      <c r="H22" s="2" t="n"/>
    </row>
    <row r="23">
      <c r="A23" s="20" t="inlineStr">
        <is>
          <t>KI oben</t>
        </is>
      </c>
      <c r="B23" s="22">
        <f>IF(B16&lt;2,"",B17+B21)</f>
        <v/>
      </c>
      <c r="C23" s="22">
        <f>IF(C16&lt;2,"",C17+C21)</f>
        <v/>
      </c>
      <c r="D23" s="22">
        <f>IF(D16&lt;2,"",D17+D21)</f>
        <v/>
      </c>
      <c r="E23" s="2" t="n"/>
      <c r="F23" s="22">
        <f>IF(F16&lt;2,"",F17+F21)</f>
        <v/>
      </c>
      <c r="G23" s="22">
        <f>IF(G16&lt;2,"",G17+G21)</f>
        <v/>
      </c>
      <c r="H23" s="2" t="n"/>
    </row>
    <row r="24">
      <c r="A24" s="20" t="inlineStr">
        <is>
          <t>Median</t>
        </is>
      </c>
      <c r="B24" s="22">
        <f>IF(B16=0,"",MEDIAN(B6:B15))</f>
        <v/>
      </c>
      <c r="C24" s="22">
        <f>IF(C16=0,"",MEDIAN(C6:C15))</f>
        <v/>
      </c>
      <c r="D24" s="22">
        <f>IF(D16=0,"",MEDIAN(D6:D15))</f>
        <v/>
      </c>
      <c r="E24" s="2" t="n"/>
      <c r="F24" s="22">
        <f>IF(F16=0,"",MEDIAN(F6:F15))</f>
        <v/>
      </c>
      <c r="G24" s="22">
        <f>IF(G16=0,"",MEDIAN(G6:G15))</f>
        <v/>
      </c>
      <c r="H24" s="2" t="n"/>
    </row>
    <row r="25">
      <c r="A25" s="20" t="inlineStr">
        <is>
          <t>Minimum</t>
        </is>
      </c>
      <c r="B25" s="22">
        <f>IF(B16=0,"",MIN(B6:B15))</f>
        <v/>
      </c>
      <c r="C25" s="22">
        <f>IF(C16=0,"",MIN(C6:C15))</f>
        <v/>
      </c>
      <c r="D25" s="22">
        <f>IF(D16=0,"",MIN(D6:D15))</f>
        <v/>
      </c>
      <c r="E25" s="2" t="n"/>
      <c r="F25" s="22">
        <f>IF(F16=0,"",MIN(F6:F15))</f>
        <v/>
      </c>
      <c r="G25" s="22">
        <f>IF(G16=0,"",MIN(G6:G15))</f>
        <v/>
      </c>
      <c r="H25" s="2" t="n"/>
    </row>
    <row r="26">
      <c r="A26" s="20" t="inlineStr">
        <is>
          <t>Maximum</t>
        </is>
      </c>
      <c r="B26" s="22">
        <f>IF(B16=0,"",MAX(B6:B15))</f>
        <v/>
      </c>
      <c r="C26" s="22">
        <f>IF(C16=0,"",MAX(C6:C15))</f>
        <v/>
      </c>
      <c r="D26" s="22">
        <f>IF(D16=0,"",MAX(D6:D15))</f>
        <v/>
      </c>
      <c r="E26" s="2" t="n"/>
      <c r="F26" s="22">
        <f>IF(F16=0,"",MAX(F6:F15))</f>
        <v/>
      </c>
      <c r="G26" s="22">
        <f>IF(G16=0,"",MAX(G6:G15))</f>
        <v/>
      </c>
      <c r="H26" s="2" t="n"/>
    </row>
    <row r="27">
      <c r="A27" s="20" t="inlineStr">
        <is>
          <t>CV zw. Zyklen [%]</t>
        </is>
      </c>
      <c r="B27" s="24">
        <f>IF(OR(B16&lt;2,B17=0),"",B18/ABS(B17)*100)</f>
        <v/>
      </c>
      <c r="C27" s="24">
        <f>IF(OR(C16&lt;2,C17=0),"",C18/ABS(C17)*100)</f>
        <v/>
      </c>
      <c r="D27" s="24">
        <f>IF(OR(D16&lt;2,D17=0),"",D18/ABS(D17)*100)</f>
        <v/>
      </c>
      <c r="E27" s="2" t="n"/>
      <c r="F27" s="2" t="n"/>
      <c r="G27" s="2" t="n"/>
      <c r="H27" s="2" t="n"/>
    </row>
    <row r="28">
      <c r="A28" s="20" t="inlineStr">
        <is>
          <t>Zyklen mit kleinstem Wert</t>
        </is>
      </c>
      <c r="B28" s="21">
        <f>COUNTIF($E$6:$E$15,B$5)</f>
        <v/>
      </c>
      <c r="C28" s="21">
        <f>COUNTIF($E$6:$E$15,C$5)</f>
        <v/>
      </c>
      <c r="D28" s="21">
        <f>COUNTIF($E$6:$E$15,D$5)</f>
        <v/>
      </c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15" t="inlineStr">
        <is>
          <t>Last Ø [W]</t>
        </is>
      </c>
      <c r="B31" s="2" t="n"/>
      <c r="C31" s="2" t="n"/>
      <c r="D31" s="2" t="n"/>
      <c r="E31" s="2" t="n"/>
      <c r="F31" s="2" t="n"/>
      <c r="G31" s="2" t="n"/>
      <c r="H31" s="2" t="n"/>
    </row>
    <row r="32">
      <c r="A32" s="3" t="inlineStr">
        <is>
          <t>Zyklus</t>
        </is>
      </c>
      <c r="B32" s="3" t="inlineStr">
        <is>
          <t>ALT (31.0.101.2115)</t>
        </is>
      </c>
      <c r="C32" s="3" t="inlineStr">
        <is>
          <t>MITTEL (31.0.101.2135)</t>
        </is>
      </c>
      <c r="D32" s="3" t="inlineStr">
        <is>
          <t>NEU (31.0.101.2141)</t>
        </is>
      </c>
      <c r="E32" s="3" t="inlineStr">
        <is>
          <t>Kleinster Wert</t>
        </is>
      </c>
      <c r="F32" s="3" t="inlineStr">
        <is>
          <t>MITTEL (31.0.101.2135) − ALT (31.0.101.2115)</t>
        </is>
      </c>
      <c r="G32" s="3" t="inlineStr">
        <is>
          <t>NEU (31.0.101.2141) − ALT (31.0.101.2115)</t>
        </is>
      </c>
      <c r="H32" s="3" t="inlineStr">
        <is>
          <t>Hinweis</t>
        </is>
      </c>
    </row>
    <row r="33">
      <c r="A33" s="7" t="n">
        <v>1</v>
      </c>
      <c r="B33" s="8" t="n">
        <v>53.48885</v>
      </c>
      <c r="C33" s="8" t="n">
        <v>52.90871</v>
      </c>
      <c r="D33" s="8" t="n">
        <v>52.943579</v>
      </c>
      <c r="E33" s="7">
        <f>IF(COUNT(B33:D33)=0,"",INDEX($B$32:$D$32,MATCH(MIN(B33:D33),B33:D33,0)))</f>
        <v/>
      </c>
      <c r="F33" s="8">
        <f>IF(OR(C33="",B33=""),"",C33-B33)</f>
        <v/>
      </c>
      <c r="G33" s="8">
        <f>IF(OR(D33="",B33=""),"",D33-B33)</f>
        <v/>
      </c>
      <c r="H33" s="2" t="inlineStr"/>
    </row>
    <row r="34">
      <c r="A34" s="7" t="n">
        <v>2</v>
      </c>
      <c r="B34" s="8" t="n">
        <v>54.291434</v>
      </c>
      <c r="C34" s="8" t="n">
        <v>52.904609</v>
      </c>
      <c r="D34" s="8" t="n">
        <v>53.540438</v>
      </c>
      <c r="E34" s="7">
        <f>IF(COUNT(B34:D34)=0,"",INDEX($B$32:$D$32,MATCH(MIN(B34:D34),B34:D34,0)))</f>
        <v/>
      </c>
      <c r="F34" s="8">
        <f>IF(OR(C34="",B34=""),"",C34-B34)</f>
        <v/>
      </c>
      <c r="G34" s="8">
        <f>IF(OR(D34="",B34=""),"",D34-B34)</f>
        <v/>
      </c>
      <c r="H34" s="2" t="inlineStr"/>
    </row>
    <row r="35">
      <c r="A35" s="7" t="n">
        <v>3</v>
      </c>
      <c r="B35" s="8" t="n">
        <v>54.175158</v>
      </c>
      <c r="C35" s="8" t="n">
        <v>53.366874</v>
      </c>
      <c r="D35" s="8" t="n">
        <v>53.384918</v>
      </c>
      <c r="E35" s="7">
        <f>IF(COUNT(B35:D35)=0,"",INDEX($B$32:$D$32,MATCH(MIN(B35:D35),B35:D35,0)))</f>
        <v/>
      </c>
      <c r="F35" s="8">
        <f>IF(OR(C35="",B35=""),"",C35-B35)</f>
        <v/>
      </c>
      <c r="G35" s="8">
        <f>IF(OR(D35="",B35=""),"",D35-B35)</f>
        <v/>
      </c>
      <c r="H35" s="2" t="inlineStr"/>
    </row>
    <row r="36">
      <c r="A36" s="7" t="n">
        <v>4</v>
      </c>
      <c r="B36" s="8" t="n">
        <v>54.176452</v>
      </c>
      <c r="C36" s="8" t="n">
        <v>53.15146</v>
      </c>
      <c r="D36" s="8" t="n">
        <v>53.127947</v>
      </c>
      <c r="E36" s="7">
        <f>IF(COUNT(B36:D36)=0,"",INDEX($B$32:$D$32,MATCH(MIN(B36:D36),B36:D36,0)))</f>
        <v/>
      </c>
      <c r="F36" s="8">
        <f>IF(OR(C36="",B36=""),"",C36-B36)</f>
        <v/>
      </c>
      <c r="G36" s="8">
        <f>IF(OR(D36="",B36=""),"",D36-B36)</f>
        <v/>
      </c>
      <c r="H36" s="2" t="inlineStr"/>
    </row>
    <row r="37">
      <c r="A37" s="7" t="n">
        <v>5</v>
      </c>
      <c r="B37" s="8" t="n">
        <v>54.371071</v>
      </c>
      <c r="C37" s="8" t="n">
        <v>53.14168</v>
      </c>
      <c r="D37" s="8" t="n">
        <v>53.176139</v>
      </c>
      <c r="E37" s="7">
        <f>IF(COUNT(B37:D37)=0,"",INDEX($B$32:$D$32,MATCH(MIN(B37:D37),B37:D37,0)))</f>
        <v/>
      </c>
      <c r="F37" s="8">
        <f>IF(OR(C37="",B37=""),"",C37-B37)</f>
        <v/>
      </c>
      <c r="G37" s="8">
        <f>IF(OR(D37="",B37=""),"",D37-B37)</f>
        <v/>
      </c>
      <c r="H37" s="2" t="inlineStr"/>
    </row>
    <row r="38">
      <c r="A38" s="7" t="n">
        <v>6</v>
      </c>
      <c r="B38" s="8" t="n">
        <v>54.354964</v>
      </c>
      <c r="C38" s="8" t="n">
        <v>53.224609</v>
      </c>
      <c r="D38" s="8" t="n">
        <v>53.288747</v>
      </c>
      <c r="E38" s="7">
        <f>IF(COUNT(B38:D38)=0,"",INDEX($B$32:$D$32,MATCH(MIN(B38:D38),B38:D38,0)))</f>
        <v/>
      </c>
      <c r="F38" s="8">
        <f>IF(OR(C38="",B38=""),"",C38-B38)</f>
        <v/>
      </c>
      <c r="G38" s="8">
        <f>IF(OR(D38="",B38=""),"",D38-B38)</f>
        <v/>
      </c>
      <c r="H38" s="2" t="inlineStr"/>
    </row>
    <row r="39">
      <c r="A39" s="7" t="n">
        <v>7</v>
      </c>
      <c r="B39" s="8" t="n">
        <v>53.825072</v>
      </c>
      <c r="C39" s="8" t="n">
        <v>53.051459</v>
      </c>
      <c r="D39" s="8" t="n">
        <v>53.015039</v>
      </c>
      <c r="E39" s="7">
        <f>IF(COUNT(B39:D39)=0,"",INDEX($B$32:$D$32,MATCH(MIN(B39:D39),B39:D39,0)))</f>
        <v/>
      </c>
      <c r="F39" s="8">
        <f>IF(OR(C39="",B39=""),"",C39-B39)</f>
        <v/>
      </c>
      <c r="G39" s="8">
        <f>IF(OR(D39="",B39=""),"",D39-B39)</f>
        <v/>
      </c>
      <c r="H39" s="2" t="inlineStr"/>
    </row>
    <row r="40">
      <c r="A40" s="7" t="n">
        <v>8</v>
      </c>
      <c r="B40" s="8" t="n">
        <v>54.178304</v>
      </c>
      <c r="C40" s="8" t="n">
        <v>53.109639</v>
      </c>
      <c r="D40" s="8" t="n">
        <v>53.271356</v>
      </c>
      <c r="E40" s="7">
        <f>IF(COUNT(B40:D40)=0,"",INDEX($B$32:$D$32,MATCH(MIN(B40:D40),B40:D40,0)))</f>
        <v/>
      </c>
      <c r="F40" s="8">
        <f>IF(OR(C40="",B40=""),"",C40-B40)</f>
        <v/>
      </c>
      <c r="G40" s="8">
        <f>IF(OR(D40="",B40=""),"",D40-B40)</f>
        <v/>
      </c>
      <c r="H40" s="2" t="inlineStr"/>
    </row>
    <row r="41">
      <c r="A41" s="7" t="n">
        <v>9</v>
      </c>
      <c r="B41" s="8" t="n">
        <v>54.085593</v>
      </c>
      <c r="C41" s="8" t="n">
        <v>53.140264</v>
      </c>
      <c r="D41" s="8" t="n">
        <v>53.191089</v>
      </c>
      <c r="E41" s="7">
        <f>IF(COUNT(B41:D41)=0,"",INDEX($B$32:$D$32,MATCH(MIN(B41:D41),B41:D41,0)))</f>
        <v/>
      </c>
      <c r="F41" s="8">
        <f>IF(OR(C41="",B41=""),"",C41-B41)</f>
        <v/>
      </c>
      <c r="G41" s="8">
        <f>IF(OR(D41="",B41=""),"",D41-B41)</f>
        <v/>
      </c>
      <c r="H41" s="2" t="inlineStr"/>
    </row>
    <row r="42">
      <c r="A42" s="7" t="n">
        <v>10</v>
      </c>
      <c r="B42" s="8" t="n">
        <v>54.163098</v>
      </c>
      <c r="C42" s="8" t="n">
        <v>52.961753</v>
      </c>
      <c r="D42" s="8" t="n">
        <v>53.20098</v>
      </c>
      <c r="E42" s="7">
        <f>IF(COUNT(B42:D42)=0,"",INDEX($B$32:$D$32,MATCH(MIN(B42:D42),B42:D42,0)))</f>
        <v/>
      </c>
      <c r="F42" s="8">
        <f>IF(OR(C42="",B42=""),"",C42-B42)</f>
        <v/>
      </c>
      <c r="G42" s="8">
        <f>IF(OR(D42="",B42=""),"",D42-B42)</f>
        <v/>
      </c>
      <c r="H42" s="2" t="inlineStr"/>
    </row>
    <row r="43">
      <c r="A43" s="20" t="inlineStr">
        <is>
          <t>n</t>
        </is>
      </c>
      <c r="B43" s="21">
        <f>COUNT(B33:B42)</f>
        <v/>
      </c>
      <c r="C43" s="21">
        <f>COUNT(C33:C42)</f>
        <v/>
      </c>
      <c r="D43" s="21">
        <f>COUNT(D33:D42)</f>
        <v/>
      </c>
      <c r="E43" s="2" t="n"/>
      <c r="F43" s="21">
        <f>COUNT(F33:F42)</f>
        <v/>
      </c>
      <c r="G43" s="21">
        <f>COUNT(G33:G42)</f>
        <v/>
      </c>
      <c r="H43" s="2" t="n"/>
    </row>
    <row r="44">
      <c r="A44" s="20" t="inlineStr">
        <is>
          <t>Mittelwert</t>
        </is>
      </c>
      <c r="B44" s="22">
        <f>IF(B43=0,"",AVERAGE(B33:B42))</f>
        <v/>
      </c>
      <c r="C44" s="22">
        <f>IF(C43=0,"",AVERAGE(C33:C42))</f>
        <v/>
      </c>
      <c r="D44" s="22">
        <f>IF(D43=0,"",AVERAGE(D33:D42))</f>
        <v/>
      </c>
      <c r="E44" s="2" t="n"/>
      <c r="F44" s="22">
        <f>IF(F43=0,"",AVERAGE(F33:F42))</f>
        <v/>
      </c>
      <c r="G44" s="22">
        <f>IF(G43=0,"",AVERAGE(G33:G42))</f>
        <v/>
      </c>
      <c r="H44" s="2" t="n"/>
    </row>
    <row r="45">
      <c r="A45" s="20" t="inlineStr">
        <is>
          <t>Standardabweichung</t>
        </is>
      </c>
      <c r="B45" s="22">
        <f>IF(B43&lt;2,"",STDEV(B33:B42))</f>
        <v/>
      </c>
      <c r="C45" s="22">
        <f>IF(C43&lt;2,"",STDEV(C33:C42))</f>
        <v/>
      </c>
      <c r="D45" s="22">
        <f>IF(D43&lt;2,"",STDEV(D33:D42))</f>
        <v/>
      </c>
      <c r="E45" s="2" t="n"/>
      <c r="F45" s="22">
        <f>IF(F43&lt;2,"",STDEV(F33:F42))</f>
        <v/>
      </c>
      <c r="G45" s="22">
        <f>IF(G43&lt;2,"",STDEV(G33:G42))</f>
        <v/>
      </c>
      <c r="H45" s="2" t="n"/>
    </row>
    <row r="46">
      <c r="A46" s="20" t="inlineStr">
        <is>
          <t>Varianz</t>
        </is>
      </c>
      <c r="B46" s="23">
        <f>IF(B43&lt;2,"",VAR(B33:B42))</f>
        <v/>
      </c>
      <c r="C46" s="23">
        <f>IF(C43&lt;2,"",VAR(C33:C42))</f>
        <v/>
      </c>
      <c r="D46" s="23">
        <f>IF(D43&lt;2,"",VAR(D33:D42))</f>
        <v/>
      </c>
      <c r="E46" s="2" t="n"/>
      <c r="F46" s="23">
        <f>IF(F43&lt;2,"",VAR(F33:F42))</f>
        <v/>
      </c>
      <c r="G46" s="23">
        <f>IF(G43&lt;2,"",VAR(G33:G42))</f>
        <v/>
      </c>
      <c r="H46" s="2" t="n"/>
    </row>
    <row r="47">
      <c r="A47" s="20" t="inlineStr">
        <is>
          <t>Spannweite</t>
        </is>
      </c>
      <c r="B47" s="22">
        <f>IF(B43=0,"",MAX(B33:B42)-MIN(B33:B42))</f>
        <v/>
      </c>
      <c r="C47" s="22">
        <f>IF(C43=0,"",MAX(C33:C42)-MIN(C33:C42))</f>
        <v/>
      </c>
      <c r="D47" s="22">
        <f>IF(D43=0,"",MAX(D33:D42)-MIN(D33:D42))</f>
        <v/>
      </c>
      <c r="E47" s="2" t="n"/>
      <c r="F47" s="22">
        <f>IF(F43=0,"",MAX(F33:F42)-MIN(F33:F42))</f>
        <v/>
      </c>
      <c r="G47" s="22">
        <f>IF(G43=0,"",MAX(G33:G42)-MIN(G33:G42))</f>
        <v/>
      </c>
      <c r="H47" s="2" t="n"/>
    </row>
    <row r="48">
      <c r="A48" s="20" t="inlineStr">
        <is>
          <t>95-%-KI ±</t>
        </is>
      </c>
      <c r="B48" s="22">
        <f>IF(B43&lt;2,"",TINV(0.05,B43-1)*B45/SQRT(B43))</f>
        <v/>
      </c>
      <c r="C48" s="22">
        <f>IF(C43&lt;2,"",TINV(0.05,C43-1)*C45/SQRT(C43))</f>
        <v/>
      </c>
      <c r="D48" s="22">
        <f>IF(D43&lt;2,"",TINV(0.05,D43-1)*D45/SQRT(D43))</f>
        <v/>
      </c>
      <c r="E48" s="2" t="n"/>
      <c r="F48" s="22">
        <f>IF(F43&lt;2,"",TINV(0.05,F43-1)*F45/SQRT(F43))</f>
        <v/>
      </c>
      <c r="G48" s="22">
        <f>IF(G43&lt;2,"",TINV(0.05,G43-1)*G45/SQRT(G43))</f>
        <v/>
      </c>
      <c r="H48" s="2" t="n"/>
    </row>
    <row r="49">
      <c r="A49" s="20" t="inlineStr">
        <is>
          <t>KI unten</t>
        </is>
      </c>
      <c r="B49" s="22">
        <f>IF(B43&lt;2,"",B44-B48)</f>
        <v/>
      </c>
      <c r="C49" s="22">
        <f>IF(C43&lt;2,"",C44-C48)</f>
        <v/>
      </c>
      <c r="D49" s="22">
        <f>IF(D43&lt;2,"",D44-D48)</f>
        <v/>
      </c>
      <c r="E49" s="2" t="n"/>
      <c r="F49" s="22">
        <f>IF(F43&lt;2,"",F44-F48)</f>
        <v/>
      </c>
      <c r="G49" s="22">
        <f>IF(G43&lt;2,"",G44-G48)</f>
        <v/>
      </c>
      <c r="H49" s="2" t="n"/>
    </row>
    <row r="50">
      <c r="A50" s="20" t="inlineStr">
        <is>
          <t>KI oben</t>
        </is>
      </c>
      <c r="B50" s="22">
        <f>IF(B43&lt;2,"",B44+B48)</f>
        <v/>
      </c>
      <c r="C50" s="22">
        <f>IF(C43&lt;2,"",C44+C48)</f>
        <v/>
      </c>
      <c r="D50" s="22">
        <f>IF(D43&lt;2,"",D44+D48)</f>
        <v/>
      </c>
      <c r="E50" s="2" t="n"/>
      <c r="F50" s="22">
        <f>IF(F43&lt;2,"",F44+F48)</f>
        <v/>
      </c>
      <c r="G50" s="22">
        <f>IF(G43&lt;2,"",G44+G48)</f>
        <v/>
      </c>
      <c r="H50" s="2" t="n"/>
    </row>
    <row r="51">
      <c r="A51" s="20" t="inlineStr">
        <is>
          <t>Median</t>
        </is>
      </c>
      <c r="B51" s="22">
        <f>IF(B43=0,"",MEDIAN(B33:B42))</f>
        <v/>
      </c>
      <c r="C51" s="22">
        <f>IF(C43=0,"",MEDIAN(C33:C42))</f>
        <v/>
      </c>
      <c r="D51" s="22">
        <f>IF(D43=0,"",MEDIAN(D33:D42))</f>
        <v/>
      </c>
      <c r="E51" s="2" t="n"/>
      <c r="F51" s="22">
        <f>IF(F43=0,"",MEDIAN(F33:F42))</f>
        <v/>
      </c>
      <c r="G51" s="22">
        <f>IF(G43=0,"",MEDIAN(G33:G42))</f>
        <v/>
      </c>
      <c r="H51" s="2" t="n"/>
    </row>
    <row r="52">
      <c r="A52" s="20" t="inlineStr">
        <is>
          <t>Minimum</t>
        </is>
      </c>
      <c r="B52" s="22">
        <f>IF(B43=0,"",MIN(B33:B42))</f>
        <v/>
      </c>
      <c r="C52" s="22">
        <f>IF(C43=0,"",MIN(C33:C42))</f>
        <v/>
      </c>
      <c r="D52" s="22">
        <f>IF(D43=0,"",MIN(D33:D42))</f>
        <v/>
      </c>
      <c r="E52" s="2" t="n"/>
      <c r="F52" s="22">
        <f>IF(F43=0,"",MIN(F33:F42))</f>
        <v/>
      </c>
      <c r="G52" s="22">
        <f>IF(G43=0,"",MIN(G33:G42))</f>
        <v/>
      </c>
      <c r="H52" s="2" t="n"/>
    </row>
    <row r="53">
      <c r="A53" s="20" t="inlineStr">
        <is>
          <t>Maximum</t>
        </is>
      </c>
      <c r="B53" s="22">
        <f>IF(B43=0,"",MAX(B33:B42))</f>
        <v/>
      </c>
      <c r="C53" s="22">
        <f>IF(C43=0,"",MAX(C33:C42))</f>
        <v/>
      </c>
      <c r="D53" s="22">
        <f>IF(D43=0,"",MAX(D33:D42))</f>
        <v/>
      </c>
      <c r="E53" s="2" t="n"/>
      <c r="F53" s="22">
        <f>IF(F43=0,"",MAX(F33:F42))</f>
        <v/>
      </c>
      <c r="G53" s="22">
        <f>IF(G43=0,"",MAX(G33:G42))</f>
        <v/>
      </c>
      <c r="H53" s="2" t="n"/>
    </row>
    <row r="54">
      <c r="A54" s="20" t="inlineStr">
        <is>
          <t>CV zw. Zyklen [%]</t>
        </is>
      </c>
      <c r="B54" s="24">
        <f>IF(OR(B43&lt;2,B44=0),"",B45/ABS(B44)*100)</f>
        <v/>
      </c>
      <c r="C54" s="24">
        <f>IF(OR(C43&lt;2,C44=0),"",C45/ABS(C44)*100)</f>
        <v/>
      </c>
      <c r="D54" s="24">
        <f>IF(OR(D43&lt;2,D44=0),"",D45/ABS(D44)*100)</f>
        <v/>
      </c>
      <c r="E54" s="2" t="n"/>
      <c r="F54" s="2" t="n"/>
      <c r="G54" s="2" t="n"/>
      <c r="H54" s="2" t="n"/>
    </row>
    <row r="55">
      <c r="A55" s="20" t="inlineStr">
        <is>
          <t>Zyklen mit kleinstem Wert</t>
        </is>
      </c>
      <c r="B55" s="21">
        <f>COUNTIF($E$33:$E$42,B$32)</f>
        <v/>
      </c>
      <c r="C55" s="21">
        <f>COUNTIF($E$33:$E$42,C$32)</f>
        <v/>
      </c>
      <c r="D55" s="21">
        <f>COUNTIF($E$33:$E$42,D$32)</f>
        <v/>
      </c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15" t="inlineStr">
        <is>
          <t>Leerlauf nach [W]</t>
        </is>
      </c>
      <c r="B58" s="2" t="n"/>
      <c r="C58" s="2" t="n"/>
      <c r="D58" s="2" t="n"/>
      <c r="E58" s="2" t="n"/>
      <c r="F58" s="2" t="n"/>
      <c r="G58" s="2" t="n"/>
      <c r="H58" s="2" t="n"/>
    </row>
    <row r="59">
      <c r="A59" s="3" t="inlineStr">
        <is>
          <t>Zyklus</t>
        </is>
      </c>
      <c r="B59" s="3" t="inlineStr">
        <is>
          <t>ALT (31.0.101.2115)</t>
        </is>
      </c>
      <c r="C59" s="3" t="inlineStr">
        <is>
          <t>MITTEL (31.0.101.2135)</t>
        </is>
      </c>
      <c r="D59" s="3" t="inlineStr">
        <is>
          <t>NEU (31.0.101.2141)</t>
        </is>
      </c>
      <c r="E59" s="3" t="inlineStr">
        <is>
          <t>Kleinster Wert</t>
        </is>
      </c>
      <c r="F59" s="3" t="inlineStr">
        <is>
          <t>MITTEL (31.0.101.2135) − ALT (31.0.101.2115)</t>
        </is>
      </c>
      <c r="G59" s="3" t="inlineStr">
        <is>
          <t>NEU (31.0.101.2141) − ALT (31.0.101.2115)</t>
        </is>
      </c>
      <c r="H59" s="3" t="inlineStr">
        <is>
          <t>Hinweis</t>
        </is>
      </c>
    </row>
    <row r="60">
      <c r="A60" s="7" t="n">
        <v>1</v>
      </c>
      <c r="B60" s="8" t="n">
        <v>9.682520999999999</v>
      </c>
      <c r="C60" s="8" t="n">
        <v>7.742854</v>
      </c>
      <c r="D60" s="8" t="n">
        <v>8.557753</v>
      </c>
      <c r="E60" s="7">
        <f>IF(COUNT(B60:D60)=0,"",INDEX($B$59:$D$59,MATCH(MIN(B60:D60),B60:D60,0)))</f>
        <v/>
      </c>
      <c r="F60" s="8">
        <f>IF(OR(C60="",B60=""),"",C60-B60)</f>
        <v/>
      </c>
      <c r="G60" s="8">
        <f>IF(OR(D60="",B60=""),"",D60-B60)</f>
        <v/>
      </c>
      <c r="H60" s="2" t="inlineStr"/>
    </row>
    <row r="61">
      <c r="A61" s="7" t="n">
        <v>2</v>
      </c>
      <c r="B61" s="8" t="n">
        <v>9.117436</v>
      </c>
      <c r="C61" s="8" t="n">
        <v>10.821391</v>
      </c>
      <c r="D61" s="8" t="n">
        <v>13.071523</v>
      </c>
      <c r="E61" s="7">
        <f>IF(COUNT(B61:D61)=0,"",INDEX($B$59:$D$59,MATCH(MIN(B61:D61),B61:D61,0)))</f>
        <v/>
      </c>
      <c r="F61" s="8">
        <f>IF(OR(C61="",B61=""),"",C61-B61)</f>
        <v/>
      </c>
      <c r="G61" s="8">
        <f>IF(OR(D61="",B61=""),"",D61-B61)</f>
        <v/>
      </c>
      <c r="H61" s="2" t="inlineStr"/>
    </row>
    <row r="62">
      <c r="A62" s="7" t="n">
        <v>3</v>
      </c>
      <c r="B62" s="8" t="n">
        <v>9.768390999999999</v>
      </c>
      <c r="C62" s="8" t="n">
        <v>8.387759000000001</v>
      </c>
      <c r="D62" s="8" t="n">
        <v>8.642742</v>
      </c>
      <c r="E62" s="7">
        <f>IF(COUNT(B62:D62)=0,"",INDEX($B$59:$D$59,MATCH(MIN(B62:D62),B62:D62,0)))</f>
        <v/>
      </c>
      <c r="F62" s="8">
        <f>IF(OR(C62="",B62=""),"",C62-B62)</f>
        <v/>
      </c>
      <c r="G62" s="8">
        <f>IF(OR(D62="",B62=""),"",D62-B62)</f>
        <v/>
      </c>
      <c r="H62" s="2" t="inlineStr"/>
    </row>
    <row r="63">
      <c r="A63" s="7" t="n">
        <v>4</v>
      </c>
      <c r="B63" s="8" t="n">
        <v>9.544433</v>
      </c>
      <c r="C63" s="8" t="n">
        <v>8.344662</v>
      </c>
      <c r="D63" s="8" t="n">
        <v>8.463120999999999</v>
      </c>
      <c r="E63" s="7">
        <f>IF(COUNT(B63:D63)=0,"",INDEX($B$59:$D$59,MATCH(MIN(B63:D63),B63:D63,0)))</f>
        <v/>
      </c>
      <c r="F63" s="8">
        <f>IF(OR(C63="",B63=""),"",C63-B63)</f>
        <v/>
      </c>
      <c r="G63" s="8">
        <f>IF(OR(D63="",B63=""),"",D63-B63)</f>
        <v/>
      </c>
      <c r="H63" s="2" t="inlineStr"/>
    </row>
    <row r="64">
      <c r="A64" s="7" t="n">
        <v>5</v>
      </c>
      <c r="B64" s="8" t="n">
        <v>9.3872</v>
      </c>
      <c r="C64" s="8" t="n">
        <v>8.659236999999999</v>
      </c>
      <c r="D64" s="8" t="n">
        <v>8.133787</v>
      </c>
      <c r="E64" s="7">
        <f>IF(COUNT(B64:D64)=0,"",INDEX($B$59:$D$59,MATCH(MIN(B64:D64),B64:D64,0)))</f>
        <v/>
      </c>
      <c r="F64" s="8">
        <f>IF(OR(C64="",B64=""),"",C64-B64)</f>
        <v/>
      </c>
      <c r="G64" s="8">
        <f>IF(OR(D64="",B64=""),"",D64-B64)</f>
        <v/>
      </c>
      <c r="H64" s="2" t="inlineStr"/>
    </row>
    <row r="65">
      <c r="A65" s="7" t="n">
        <v>6</v>
      </c>
      <c r="B65" s="8" t="n">
        <v>9.341881000000001</v>
      </c>
      <c r="C65" s="8" t="n">
        <v>7.937385</v>
      </c>
      <c r="D65" s="8" t="n">
        <v>8.385899</v>
      </c>
      <c r="E65" s="7">
        <f>IF(COUNT(B65:D65)=0,"",INDEX($B$59:$D$59,MATCH(MIN(B65:D65),B65:D65,0)))</f>
        <v/>
      </c>
      <c r="F65" s="8">
        <f>IF(OR(C65="",B65=""),"",C65-B65)</f>
        <v/>
      </c>
      <c r="G65" s="8">
        <f>IF(OR(D65="",B65=""),"",D65-B65)</f>
        <v/>
      </c>
      <c r="H65" s="2" t="inlineStr"/>
    </row>
    <row r="66">
      <c r="A66" s="7" t="n">
        <v>7</v>
      </c>
      <c r="B66" s="8" t="n">
        <v>8.916166</v>
      </c>
      <c r="C66" s="8" t="n">
        <v>7.899253</v>
      </c>
      <c r="D66" s="8" t="n">
        <v>8.213036000000001</v>
      </c>
      <c r="E66" s="7">
        <f>IF(COUNT(B66:D66)=0,"",INDEX($B$59:$D$59,MATCH(MIN(B66:D66),B66:D66,0)))</f>
        <v/>
      </c>
      <c r="F66" s="8">
        <f>IF(OR(C66="",B66=""),"",C66-B66)</f>
        <v/>
      </c>
      <c r="G66" s="8">
        <f>IF(OR(D66="",B66=""),"",D66-B66)</f>
        <v/>
      </c>
      <c r="H66" s="2" t="inlineStr"/>
    </row>
    <row r="67">
      <c r="A67" s="7" t="n">
        <v>8</v>
      </c>
      <c r="B67" s="8" t="n">
        <v>9.2491</v>
      </c>
      <c r="C67" s="8" t="n">
        <v>8.346672</v>
      </c>
      <c r="D67" s="8" t="n">
        <v>8.287488</v>
      </c>
      <c r="E67" s="7">
        <f>IF(COUNT(B67:D67)=0,"",INDEX($B$59:$D$59,MATCH(MIN(B67:D67),B67:D67,0)))</f>
        <v/>
      </c>
      <c r="F67" s="8">
        <f>IF(OR(C67="",B67=""),"",C67-B67)</f>
        <v/>
      </c>
      <c r="G67" s="8">
        <f>IF(OR(D67="",B67=""),"",D67-B67)</f>
        <v/>
      </c>
      <c r="H67" s="2" t="inlineStr"/>
    </row>
    <row r="68">
      <c r="A68" s="7" t="n">
        <v>9</v>
      </c>
      <c r="B68" s="8" t="n">
        <v>9.259862</v>
      </c>
      <c r="C68" s="8" t="n">
        <v>7.918632</v>
      </c>
      <c r="D68" s="8" t="n">
        <v>8.269245</v>
      </c>
      <c r="E68" s="7">
        <f>IF(COUNT(B68:D68)=0,"",INDEX($B$59:$D$59,MATCH(MIN(B68:D68),B68:D68,0)))</f>
        <v/>
      </c>
      <c r="F68" s="8">
        <f>IF(OR(C68="",B68=""),"",C68-B68)</f>
        <v/>
      </c>
      <c r="G68" s="8">
        <f>IF(OR(D68="",B68=""),"",D68-B68)</f>
        <v/>
      </c>
      <c r="H68" s="2" t="inlineStr"/>
    </row>
    <row r="69">
      <c r="A69" s="7" t="n">
        <v>10</v>
      </c>
      <c r="B69" s="8" t="n">
        <v>9.093984000000001</v>
      </c>
      <c r="C69" s="8" t="n">
        <v>8.467136999999999</v>
      </c>
      <c r="D69" s="8" t="n">
        <v>7.995927</v>
      </c>
      <c r="E69" s="7">
        <f>IF(COUNT(B69:D69)=0,"",INDEX($B$59:$D$59,MATCH(MIN(B69:D69),B69:D69,0)))</f>
        <v/>
      </c>
      <c r="F69" s="8">
        <f>IF(OR(C69="",B69=""),"",C69-B69)</f>
        <v/>
      </c>
      <c r="G69" s="8">
        <f>IF(OR(D69="",B69=""),"",D69-B69)</f>
        <v/>
      </c>
      <c r="H69" s="2" t="inlineStr"/>
    </row>
    <row r="70">
      <c r="A70" s="20" t="inlineStr">
        <is>
          <t>n</t>
        </is>
      </c>
      <c r="B70" s="21">
        <f>COUNT(B60:B69)</f>
        <v/>
      </c>
      <c r="C70" s="21">
        <f>COUNT(C60:C69)</f>
        <v/>
      </c>
      <c r="D70" s="21">
        <f>COUNT(D60:D69)</f>
        <v/>
      </c>
      <c r="E70" s="2" t="n"/>
      <c r="F70" s="21">
        <f>COUNT(F60:F69)</f>
        <v/>
      </c>
      <c r="G70" s="21">
        <f>COUNT(G60:G69)</f>
        <v/>
      </c>
      <c r="H70" s="2" t="n"/>
    </row>
    <row r="71">
      <c r="A71" s="20" t="inlineStr">
        <is>
          <t>Mittelwert</t>
        </is>
      </c>
      <c r="B71" s="22">
        <f>IF(B70=0,"",AVERAGE(B60:B69))</f>
        <v/>
      </c>
      <c r="C71" s="22">
        <f>IF(C70=0,"",AVERAGE(C60:C69))</f>
        <v/>
      </c>
      <c r="D71" s="22">
        <f>IF(D70=0,"",AVERAGE(D60:D69))</f>
        <v/>
      </c>
      <c r="E71" s="2" t="n"/>
      <c r="F71" s="22">
        <f>IF(F70=0,"",AVERAGE(F60:F69))</f>
        <v/>
      </c>
      <c r="G71" s="22">
        <f>IF(G70=0,"",AVERAGE(G60:G69))</f>
        <v/>
      </c>
      <c r="H71" s="2" t="n"/>
    </row>
    <row r="72">
      <c r="A72" s="20" t="inlineStr">
        <is>
          <t>Standardabweichung</t>
        </is>
      </c>
      <c r="B72" s="22">
        <f>IF(B70&lt;2,"",STDEV(B60:B69))</f>
        <v/>
      </c>
      <c r="C72" s="22">
        <f>IF(C70&lt;2,"",STDEV(C60:C69))</f>
        <v/>
      </c>
      <c r="D72" s="22">
        <f>IF(D70&lt;2,"",STDEV(D60:D69))</f>
        <v/>
      </c>
      <c r="E72" s="2" t="n"/>
      <c r="F72" s="22">
        <f>IF(F70&lt;2,"",STDEV(F60:F69))</f>
        <v/>
      </c>
      <c r="G72" s="22">
        <f>IF(G70&lt;2,"",STDEV(G60:G69))</f>
        <v/>
      </c>
      <c r="H72" s="2" t="n"/>
    </row>
    <row r="73">
      <c r="A73" s="20" t="inlineStr">
        <is>
          <t>Varianz</t>
        </is>
      </c>
      <c r="B73" s="23">
        <f>IF(B70&lt;2,"",VAR(B60:B69))</f>
        <v/>
      </c>
      <c r="C73" s="23">
        <f>IF(C70&lt;2,"",VAR(C60:C69))</f>
        <v/>
      </c>
      <c r="D73" s="23">
        <f>IF(D70&lt;2,"",VAR(D60:D69))</f>
        <v/>
      </c>
      <c r="E73" s="2" t="n"/>
      <c r="F73" s="23">
        <f>IF(F70&lt;2,"",VAR(F60:F69))</f>
        <v/>
      </c>
      <c r="G73" s="23">
        <f>IF(G70&lt;2,"",VAR(G60:G69))</f>
        <v/>
      </c>
      <c r="H73" s="2" t="n"/>
    </row>
    <row r="74">
      <c r="A74" s="20" t="inlineStr">
        <is>
          <t>Spannweite</t>
        </is>
      </c>
      <c r="B74" s="22">
        <f>IF(B70=0,"",MAX(B60:B69)-MIN(B60:B69))</f>
        <v/>
      </c>
      <c r="C74" s="22">
        <f>IF(C70=0,"",MAX(C60:C69)-MIN(C60:C69))</f>
        <v/>
      </c>
      <c r="D74" s="22">
        <f>IF(D70=0,"",MAX(D60:D69)-MIN(D60:D69))</f>
        <v/>
      </c>
      <c r="E74" s="2" t="n"/>
      <c r="F74" s="22">
        <f>IF(F70=0,"",MAX(F60:F69)-MIN(F60:F69))</f>
        <v/>
      </c>
      <c r="G74" s="22">
        <f>IF(G70=0,"",MAX(G60:G69)-MIN(G60:G69))</f>
        <v/>
      </c>
      <c r="H74" s="2" t="n"/>
    </row>
    <row r="75">
      <c r="A75" s="20" t="inlineStr">
        <is>
          <t>95-%-KI ±</t>
        </is>
      </c>
      <c r="B75" s="22">
        <f>IF(B70&lt;2,"",TINV(0.05,B70-1)*B72/SQRT(B70))</f>
        <v/>
      </c>
      <c r="C75" s="22">
        <f>IF(C70&lt;2,"",TINV(0.05,C70-1)*C72/SQRT(C70))</f>
        <v/>
      </c>
      <c r="D75" s="22">
        <f>IF(D70&lt;2,"",TINV(0.05,D70-1)*D72/SQRT(D70))</f>
        <v/>
      </c>
      <c r="E75" s="2" t="n"/>
      <c r="F75" s="22">
        <f>IF(F70&lt;2,"",TINV(0.05,F70-1)*F72/SQRT(F70))</f>
        <v/>
      </c>
      <c r="G75" s="22">
        <f>IF(G70&lt;2,"",TINV(0.05,G70-1)*G72/SQRT(G70))</f>
        <v/>
      </c>
      <c r="H75" s="2" t="n"/>
    </row>
    <row r="76">
      <c r="A76" s="20" t="inlineStr">
        <is>
          <t>KI unten</t>
        </is>
      </c>
      <c r="B76" s="22">
        <f>IF(B70&lt;2,"",B71-B75)</f>
        <v/>
      </c>
      <c r="C76" s="22">
        <f>IF(C70&lt;2,"",C71-C75)</f>
        <v/>
      </c>
      <c r="D76" s="22">
        <f>IF(D70&lt;2,"",D71-D75)</f>
        <v/>
      </c>
      <c r="E76" s="2" t="n"/>
      <c r="F76" s="22">
        <f>IF(F70&lt;2,"",F71-F75)</f>
        <v/>
      </c>
      <c r="G76" s="22">
        <f>IF(G70&lt;2,"",G71-G75)</f>
        <v/>
      </c>
      <c r="H76" s="2" t="n"/>
    </row>
    <row r="77">
      <c r="A77" s="20" t="inlineStr">
        <is>
          <t>KI oben</t>
        </is>
      </c>
      <c r="B77" s="22">
        <f>IF(B70&lt;2,"",B71+B75)</f>
        <v/>
      </c>
      <c r="C77" s="22">
        <f>IF(C70&lt;2,"",C71+C75)</f>
        <v/>
      </c>
      <c r="D77" s="22">
        <f>IF(D70&lt;2,"",D71+D75)</f>
        <v/>
      </c>
      <c r="E77" s="2" t="n"/>
      <c r="F77" s="22">
        <f>IF(F70&lt;2,"",F71+F75)</f>
        <v/>
      </c>
      <c r="G77" s="22">
        <f>IF(G70&lt;2,"",G71+G75)</f>
        <v/>
      </c>
      <c r="H77" s="2" t="n"/>
    </row>
    <row r="78">
      <c r="A78" s="20" t="inlineStr">
        <is>
          <t>Median</t>
        </is>
      </c>
      <c r="B78" s="22">
        <f>IF(B70=0,"",MEDIAN(B60:B69))</f>
        <v/>
      </c>
      <c r="C78" s="22">
        <f>IF(C70=0,"",MEDIAN(C60:C69))</f>
        <v/>
      </c>
      <c r="D78" s="22">
        <f>IF(D70=0,"",MEDIAN(D60:D69))</f>
        <v/>
      </c>
      <c r="E78" s="2" t="n"/>
      <c r="F78" s="22">
        <f>IF(F70=0,"",MEDIAN(F60:F69))</f>
        <v/>
      </c>
      <c r="G78" s="22">
        <f>IF(G70=0,"",MEDIAN(G60:G69))</f>
        <v/>
      </c>
      <c r="H78" s="2" t="n"/>
    </row>
    <row r="79">
      <c r="A79" s="20" t="inlineStr">
        <is>
          <t>Minimum</t>
        </is>
      </c>
      <c r="B79" s="22">
        <f>IF(B70=0,"",MIN(B60:B69))</f>
        <v/>
      </c>
      <c r="C79" s="22">
        <f>IF(C70=0,"",MIN(C60:C69))</f>
        <v/>
      </c>
      <c r="D79" s="22">
        <f>IF(D70=0,"",MIN(D60:D69))</f>
        <v/>
      </c>
      <c r="E79" s="2" t="n"/>
      <c r="F79" s="22">
        <f>IF(F70=0,"",MIN(F60:F69))</f>
        <v/>
      </c>
      <c r="G79" s="22">
        <f>IF(G70=0,"",MIN(G60:G69))</f>
        <v/>
      </c>
      <c r="H79" s="2" t="n"/>
    </row>
    <row r="80">
      <c r="A80" s="20" t="inlineStr">
        <is>
          <t>Maximum</t>
        </is>
      </c>
      <c r="B80" s="22">
        <f>IF(B70=0,"",MAX(B60:B69))</f>
        <v/>
      </c>
      <c r="C80" s="22">
        <f>IF(C70=0,"",MAX(C60:C69))</f>
        <v/>
      </c>
      <c r="D80" s="22">
        <f>IF(D70=0,"",MAX(D60:D69))</f>
        <v/>
      </c>
      <c r="E80" s="2" t="n"/>
      <c r="F80" s="22">
        <f>IF(F70=0,"",MAX(F60:F69))</f>
        <v/>
      </c>
      <c r="G80" s="22">
        <f>IF(G70=0,"",MAX(G60:G69))</f>
        <v/>
      </c>
      <c r="H80" s="2" t="n"/>
    </row>
    <row r="81">
      <c r="A81" s="20" t="inlineStr">
        <is>
          <t>CV zw. Zyklen [%]</t>
        </is>
      </c>
      <c r="B81" s="24">
        <f>IF(OR(B70&lt;2,B71=0),"",B72/ABS(B71)*100)</f>
        <v/>
      </c>
      <c r="C81" s="24">
        <f>IF(OR(C70&lt;2,C71=0),"",C72/ABS(C71)*100)</f>
        <v/>
      </c>
      <c r="D81" s="24">
        <f>IF(OR(D70&lt;2,D71=0),"",D72/ABS(D71)*100)</f>
        <v/>
      </c>
      <c r="E81" s="2" t="n"/>
      <c r="F81" s="2" t="n"/>
      <c r="G81" s="2" t="n"/>
      <c r="H81" s="2" t="n"/>
    </row>
    <row r="82">
      <c r="A82" s="20" t="inlineStr">
        <is>
          <t>Zyklen mit kleinstem Wert</t>
        </is>
      </c>
      <c r="B82" s="21">
        <f>COUNTIF($E$60:$E$69,B$59)</f>
        <v/>
      </c>
      <c r="C82" s="21">
        <f>COUNTIF($E$60:$E$69,C$59)</f>
        <v/>
      </c>
      <c r="D82" s="21">
        <f>COUNTIF($E$60:$E$69,D$59)</f>
        <v/>
      </c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15" t="inlineStr">
        <is>
          <t>Leerlauf Ø [W]</t>
        </is>
      </c>
      <c r="B85" s="2" t="n"/>
      <c r="C85" s="2" t="n"/>
      <c r="D85" s="2" t="n"/>
      <c r="E85" s="2" t="n"/>
      <c r="F85" s="2" t="n"/>
      <c r="G85" s="2" t="n"/>
      <c r="H85" s="2" t="n"/>
    </row>
    <row r="86">
      <c r="A86" s="3" t="inlineStr">
        <is>
          <t>Zyklus</t>
        </is>
      </c>
      <c r="B86" s="3" t="inlineStr">
        <is>
          <t>ALT (31.0.101.2115)</t>
        </is>
      </c>
      <c r="C86" s="3" t="inlineStr">
        <is>
          <t>MITTEL (31.0.101.2135)</t>
        </is>
      </c>
      <c r="D86" s="3" t="inlineStr">
        <is>
          <t>NEU (31.0.101.2141)</t>
        </is>
      </c>
      <c r="E86" s="3" t="inlineStr">
        <is>
          <t>Kleinster Wert</t>
        </is>
      </c>
      <c r="F86" s="3" t="inlineStr">
        <is>
          <t>MITTEL (31.0.101.2135) − ALT (31.0.101.2115)</t>
        </is>
      </c>
      <c r="G86" s="3" t="inlineStr">
        <is>
          <t>NEU (31.0.101.2141) − ALT (31.0.101.2115)</t>
        </is>
      </c>
      <c r="H86" s="3" t="inlineStr">
        <is>
          <t>Hinweis</t>
        </is>
      </c>
    </row>
    <row r="87">
      <c r="A87" s="7" t="n">
        <v>1</v>
      </c>
      <c r="B87" s="8" t="n">
        <v>9.414977</v>
      </c>
      <c r="C87" s="8" t="n">
        <v>9.197047</v>
      </c>
      <c r="D87" s="8" t="n">
        <v>10.348452</v>
      </c>
      <c r="E87" s="7">
        <f>IF(COUNT(B87:D87)=0,"",INDEX($B$86:$D$86,MATCH(MIN(B87:D87),B87:D87,0)))</f>
        <v/>
      </c>
      <c r="F87" s="8">
        <f>IF(OR(C87="",B87=""),"",C87-B87)</f>
        <v/>
      </c>
      <c r="G87" s="8">
        <f>IF(OR(D87="",B87=""),"",D87-B87)</f>
        <v/>
      </c>
      <c r="H87" s="2" t="inlineStr"/>
    </row>
    <row r="88">
      <c r="A88" s="7" t="n">
        <v>2</v>
      </c>
      <c r="B88" s="8" t="n">
        <v>9.071266</v>
      </c>
      <c r="C88" s="8" t="n">
        <v>9.486077</v>
      </c>
      <c r="D88" s="8" t="n">
        <v>11.049764</v>
      </c>
      <c r="E88" s="7">
        <f>IF(COUNT(B88:D88)=0,"",INDEX($B$86:$D$86,MATCH(MIN(B88:D88),B88:D88,0)))</f>
        <v/>
      </c>
      <c r="F88" s="8">
        <f>IF(OR(C88="",B88=""),"",C88-B88)</f>
        <v/>
      </c>
      <c r="G88" s="8">
        <f>IF(OR(D88="",B88=""),"",D88-B88)</f>
        <v/>
      </c>
      <c r="H88" s="2" t="inlineStr"/>
    </row>
    <row r="89">
      <c r="A89" s="7" t="n">
        <v>3</v>
      </c>
      <c r="B89" s="8" t="n">
        <v>9.568391999999999</v>
      </c>
      <c r="C89" s="8" t="n">
        <v>8.263995</v>
      </c>
      <c r="D89" s="8" t="n">
        <v>8.578810000000001</v>
      </c>
      <c r="E89" s="7">
        <f>IF(COUNT(B89:D89)=0,"",INDEX($B$86:$D$86,MATCH(MIN(B89:D89),B89:D89,0)))</f>
        <v/>
      </c>
      <c r="F89" s="8">
        <f>IF(OR(C89="",B89=""),"",C89-B89)</f>
        <v/>
      </c>
      <c r="G89" s="8">
        <f>IF(OR(D89="",B89=""),"",D89-B89)</f>
        <v/>
      </c>
      <c r="H89" s="2" t="inlineStr"/>
    </row>
    <row r="90">
      <c r="A90" s="7" t="n">
        <v>4</v>
      </c>
      <c r="B90" s="8" t="n">
        <v>9.451851</v>
      </c>
      <c r="C90" s="8" t="n">
        <v>8.118296000000001</v>
      </c>
      <c r="D90" s="8" t="n">
        <v>8.287257</v>
      </c>
      <c r="E90" s="7">
        <f>IF(COUNT(B90:D90)=0,"",INDEX($B$86:$D$86,MATCH(MIN(B90:D90),B90:D90,0)))</f>
        <v/>
      </c>
      <c r="F90" s="8">
        <f>IF(OR(C90="",B90=""),"",C90-B90)</f>
        <v/>
      </c>
      <c r="G90" s="8">
        <f>IF(OR(D90="",B90=""),"",D90-B90)</f>
        <v/>
      </c>
      <c r="H90" s="2" t="inlineStr"/>
    </row>
    <row r="91">
      <c r="A91" s="7" t="n">
        <v>5</v>
      </c>
      <c r="B91" s="8" t="n">
        <v>9.450654</v>
      </c>
      <c r="C91" s="8" t="n">
        <v>8.289718000000001</v>
      </c>
      <c r="D91" s="8" t="n">
        <v>8.090396999999999</v>
      </c>
      <c r="E91" s="7">
        <f>IF(COUNT(B91:D91)=0,"",INDEX($B$86:$D$86,MATCH(MIN(B91:D91),B91:D91,0)))</f>
        <v/>
      </c>
      <c r="F91" s="8">
        <f>IF(OR(C91="",B91=""),"",C91-B91)</f>
        <v/>
      </c>
      <c r="G91" s="8">
        <f>IF(OR(D91="",B91=""),"",D91-B91)</f>
        <v/>
      </c>
      <c r="H91" s="2" t="inlineStr"/>
    </row>
    <row r="92">
      <c r="A92" s="7" t="n">
        <v>6</v>
      </c>
      <c r="B92" s="8" t="n">
        <v>9.363699</v>
      </c>
      <c r="C92" s="8" t="n">
        <v>8.009634</v>
      </c>
      <c r="D92" s="8" t="n">
        <v>8.089131999999999</v>
      </c>
      <c r="E92" s="7">
        <f>IF(COUNT(B92:D92)=0,"",INDEX($B$86:$D$86,MATCH(MIN(B92:D92),B92:D92,0)))</f>
        <v/>
      </c>
      <c r="F92" s="8">
        <f>IF(OR(C92="",B92=""),"",C92-B92)</f>
        <v/>
      </c>
      <c r="G92" s="8">
        <f>IF(OR(D92="",B92=""),"",D92-B92)</f>
        <v/>
      </c>
      <c r="H92" s="2" t="inlineStr"/>
    </row>
    <row r="93">
      <c r="A93" s="7" t="n">
        <v>7</v>
      </c>
      <c r="B93" s="8" t="n">
        <v>9.197400999999999</v>
      </c>
      <c r="C93" s="8" t="n">
        <v>7.898693</v>
      </c>
      <c r="D93" s="8" t="n">
        <v>8.005972999999999</v>
      </c>
      <c r="E93" s="7">
        <f>IF(COUNT(B93:D93)=0,"",INDEX($B$86:$D$86,MATCH(MIN(B93:D93),B93:D93,0)))</f>
        <v/>
      </c>
      <c r="F93" s="8">
        <f>IF(OR(C93="",B93=""),"",C93-B93)</f>
        <v/>
      </c>
      <c r="G93" s="8">
        <f>IF(OR(D93="",B93=""),"",D93-B93)</f>
        <v/>
      </c>
      <c r="H93" s="2" t="inlineStr"/>
    </row>
    <row r="94">
      <c r="A94" s="7" t="n">
        <v>8</v>
      </c>
      <c r="B94" s="8" t="n">
        <v>9.243264</v>
      </c>
      <c r="C94" s="8" t="n">
        <v>8.05105</v>
      </c>
      <c r="D94" s="8" t="n">
        <v>8.128534999999999</v>
      </c>
      <c r="E94" s="7">
        <f>IF(COUNT(B94:D94)=0,"",INDEX($B$86:$D$86,MATCH(MIN(B94:D94),B94:D94,0)))</f>
        <v/>
      </c>
      <c r="F94" s="8">
        <f>IF(OR(C94="",B94=""),"",C94-B94)</f>
        <v/>
      </c>
      <c r="G94" s="8">
        <f>IF(OR(D94="",B94=""),"",D94-B94)</f>
        <v/>
      </c>
      <c r="H94" s="2" t="inlineStr"/>
    </row>
    <row r="95">
      <c r="A95" s="7" t="n">
        <v>9</v>
      </c>
      <c r="B95" s="8" t="n">
        <v>9.088018</v>
      </c>
      <c r="C95" s="8" t="n">
        <v>7.930205</v>
      </c>
      <c r="D95" s="8" t="n">
        <v>8.056179</v>
      </c>
      <c r="E95" s="7">
        <f>IF(COUNT(B95:D95)=0,"",INDEX($B$86:$D$86,MATCH(MIN(B95:D95),B95:D95,0)))</f>
        <v/>
      </c>
      <c r="F95" s="8">
        <f>IF(OR(C95="",B95=""),"",C95-B95)</f>
        <v/>
      </c>
      <c r="G95" s="8">
        <f>IF(OR(D95="",B95=""),"",D95-B95)</f>
        <v/>
      </c>
      <c r="H95" s="2" t="inlineStr"/>
    </row>
    <row r="96">
      <c r="A96" s="7" t="n">
        <v>10</v>
      </c>
      <c r="B96" s="8" t="n">
        <v>9.213374</v>
      </c>
      <c r="C96" s="8" t="n">
        <v>8.013762</v>
      </c>
      <c r="D96" s="8" t="n">
        <v>8.028288</v>
      </c>
      <c r="E96" s="7">
        <f>IF(COUNT(B96:D96)=0,"",INDEX($B$86:$D$86,MATCH(MIN(B96:D96),B96:D96,0)))</f>
        <v/>
      </c>
      <c r="F96" s="8">
        <f>IF(OR(C96="",B96=""),"",C96-B96)</f>
        <v/>
      </c>
      <c r="G96" s="8">
        <f>IF(OR(D96="",B96=""),"",D96-B96)</f>
        <v/>
      </c>
      <c r="H96" s="2" t="inlineStr"/>
    </row>
    <row r="97">
      <c r="A97" s="20" t="inlineStr">
        <is>
          <t>n</t>
        </is>
      </c>
      <c r="B97" s="21">
        <f>COUNT(B87:B96)</f>
        <v/>
      </c>
      <c r="C97" s="21">
        <f>COUNT(C87:C96)</f>
        <v/>
      </c>
      <c r="D97" s="21">
        <f>COUNT(D87:D96)</f>
        <v/>
      </c>
      <c r="E97" s="2" t="n"/>
      <c r="F97" s="21">
        <f>COUNT(F87:F96)</f>
        <v/>
      </c>
      <c r="G97" s="21">
        <f>COUNT(G87:G96)</f>
        <v/>
      </c>
      <c r="H97" s="2" t="n"/>
    </row>
    <row r="98">
      <c r="A98" s="20" t="inlineStr">
        <is>
          <t>Mittelwert</t>
        </is>
      </c>
      <c r="B98" s="22">
        <f>IF(B97=0,"",AVERAGE(B87:B96))</f>
        <v/>
      </c>
      <c r="C98" s="22">
        <f>IF(C97=0,"",AVERAGE(C87:C96))</f>
        <v/>
      </c>
      <c r="D98" s="22">
        <f>IF(D97=0,"",AVERAGE(D87:D96))</f>
        <v/>
      </c>
      <c r="E98" s="2" t="n"/>
      <c r="F98" s="22">
        <f>IF(F97=0,"",AVERAGE(F87:F96))</f>
        <v/>
      </c>
      <c r="G98" s="22">
        <f>IF(G97=0,"",AVERAGE(G87:G96))</f>
        <v/>
      </c>
      <c r="H98" s="2" t="n"/>
    </row>
    <row r="99">
      <c r="A99" s="20" t="inlineStr">
        <is>
          <t>Standardabweichung</t>
        </is>
      </c>
      <c r="B99" s="22">
        <f>IF(B97&lt;2,"",STDEV(B87:B96))</f>
        <v/>
      </c>
      <c r="C99" s="22">
        <f>IF(C97&lt;2,"",STDEV(C87:C96))</f>
        <v/>
      </c>
      <c r="D99" s="22">
        <f>IF(D97&lt;2,"",STDEV(D87:D96))</f>
        <v/>
      </c>
      <c r="E99" s="2" t="n"/>
      <c r="F99" s="22">
        <f>IF(F97&lt;2,"",STDEV(F87:F96))</f>
        <v/>
      </c>
      <c r="G99" s="22">
        <f>IF(G97&lt;2,"",STDEV(G87:G96))</f>
        <v/>
      </c>
      <c r="H99" s="2" t="n"/>
    </row>
    <row r="100">
      <c r="A100" s="20" t="inlineStr">
        <is>
          <t>Varianz</t>
        </is>
      </c>
      <c r="B100" s="23">
        <f>IF(B97&lt;2,"",VAR(B87:B96))</f>
        <v/>
      </c>
      <c r="C100" s="23">
        <f>IF(C97&lt;2,"",VAR(C87:C96))</f>
        <v/>
      </c>
      <c r="D100" s="23">
        <f>IF(D97&lt;2,"",VAR(D87:D96))</f>
        <v/>
      </c>
      <c r="E100" s="2" t="n"/>
      <c r="F100" s="23">
        <f>IF(F97&lt;2,"",VAR(F87:F96))</f>
        <v/>
      </c>
      <c r="G100" s="23">
        <f>IF(G97&lt;2,"",VAR(G87:G96))</f>
        <v/>
      </c>
      <c r="H100" s="2" t="n"/>
    </row>
    <row r="101">
      <c r="A101" s="20" t="inlineStr">
        <is>
          <t>Spannweite</t>
        </is>
      </c>
      <c r="B101" s="22">
        <f>IF(B97=0,"",MAX(B87:B96)-MIN(B87:B96))</f>
        <v/>
      </c>
      <c r="C101" s="22">
        <f>IF(C97=0,"",MAX(C87:C96)-MIN(C87:C96))</f>
        <v/>
      </c>
      <c r="D101" s="22">
        <f>IF(D97=0,"",MAX(D87:D96)-MIN(D87:D96))</f>
        <v/>
      </c>
      <c r="E101" s="2" t="n"/>
      <c r="F101" s="22">
        <f>IF(F97=0,"",MAX(F87:F96)-MIN(F87:F96))</f>
        <v/>
      </c>
      <c r="G101" s="22">
        <f>IF(G97=0,"",MAX(G87:G96)-MIN(G87:G96))</f>
        <v/>
      </c>
      <c r="H101" s="2" t="n"/>
    </row>
    <row r="102">
      <c r="A102" s="20" t="inlineStr">
        <is>
          <t>95-%-KI ±</t>
        </is>
      </c>
      <c r="B102" s="22">
        <f>IF(B97&lt;2,"",TINV(0.05,B97-1)*B99/SQRT(B97))</f>
        <v/>
      </c>
      <c r="C102" s="22">
        <f>IF(C97&lt;2,"",TINV(0.05,C97-1)*C99/SQRT(C97))</f>
        <v/>
      </c>
      <c r="D102" s="22">
        <f>IF(D97&lt;2,"",TINV(0.05,D97-1)*D99/SQRT(D97))</f>
        <v/>
      </c>
      <c r="E102" s="2" t="n"/>
      <c r="F102" s="22">
        <f>IF(F97&lt;2,"",TINV(0.05,F97-1)*F99/SQRT(F97))</f>
        <v/>
      </c>
      <c r="G102" s="22">
        <f>IF(G97&lt;2,"",TINV(0.05,G97-1)*G99/SQRT(G97))</f>
        <v/>
      </c>
      <c r="H102" s="2" t="n"/>
    </row>
    <row r="103">
      <c r="A103" s="20" t="inlineStr">
        <is>
          <t>KI unten</t>
        </is>
      </c>
      <c r="B103" s="22">
        <f>IF(B97&lt;2,"",B98-B102)</f>
        <v/>
      </c>
      <c r="C103" s="22">
        <f>IF(C97&lt;2,"",C98-C102)</f>
        <v/>
      </c>
      <c r="D103" s="22">
        <f>IF(D97&lt;2,"",D98-D102)</f>
        <v/>
      </c>
      <c r="E103" s="2" t="n"/>
      <c r="F103" s="22">
        <f>IF(F97&lt;2,"",F98-F102)</f>
        <v/>
      </c>
      <c r="G103" s="22">
        <f>IF(G97&lt;2,"",G98-G102)</f>
        <v/>
      </c>
      <c r="H103" s="2" t="n"/>
    </row>
    <row r="104">
      <c r="A104" s="20" t="inlineStr">
        <is>
          <t>KI oben</t>
        </is>
      </c>
      <c r="B104" s="22">
        <f>IF(B97&lt;2,"",B98+B102)</f>
        <v/>
      </c>
      <c r="C104" s="22">
        <f>IF(C97&lt;2,"",C98+C102)</f>
        <v/>
      </c>
      <c r="D104" s="22">
        <f>IF(D97&lt;2,"",D98+D102)</f>
        <v/>
      </c>
      <c r="E104" s="2" t="n"/>
      <c r="F104" s="22">
        <f>IF(F97&lt;2,"",F98+F102)</f>
        <v/>
      </c>
      <c r="G104" s="22">
        <f>IF(G97&lt;2,"",G98+G102)</f>
        <v/>
      </c>
      <c r="H104" s="2" t="n"/>
    </row>
    <row r="105">
      <c r="A105" s="20" t="inlineStr">
        <is>
          <t>Median</t>
        </is>
      </c>
      <c r="B105" s="22">
        <f>IF(B97=0,"",MEDIAN(B87:B96))</f>
        <v/>
      </c>
      <c r="C105" s="22">
        <f>IF(C97=0,"",MEDIAN(C87:C96))</f>
        <v/>
      </c>
      <c r="D105" s="22">
        <f>IF(D97=0,"",MEDIAN(D87:D96))</f>
        <v/>
      </c>
      <c r="E105" s="2" t="n"/>
      <c r="F105" s="22">
        <f>IF(F97=0,"",MEDIAN(F87:F96))</f>
        <v/>
      </c>
      <c r="G105" s="22">
        <f>IF(G97=0,"",MEDIAN(G87:G96))</f>
        <v/>
      </c>
      <c r="H105" s="2" t="n"/>
    </row>
    <row r="106">
      <c r="A106" s="20" t="inlineStr">
        <is>
          <t>Minimum</t>
        </is>
      </c>
      <c r="B106" s="22">
        <f>IF(B97=0,"",MIN(B87:B96))</f>
        <v/>
      </c>
      <c r="C106" s="22">
        <f>IF(C97=0,"",MIN(C87:C96))</f>
        <v/>
      </c>
      <c r="D106" s="22">
        <f>IF(D97=0,"",MIN(D87:D96))</f>
        <v/>
      </c>
      <c r="E106" s="2" t="n"/>
      <c r="F106" s="22">
        <f>IF(F97=0,"",MIN(F87:F96))</f>
        <v/>
      </c>
      <c r="G106" s="22">
        <f>IF(G97=0,"",MIN(G87:G96))</f>
        <v/>
      </c>
      <c r="H106" s="2" t="n"/>
    </row>
    <row r="107">
      <c r="A107" s="20" t="inlineStr">
        <is>
          <t>Maximum</t>
        </is>
      </c>
      <c r="B107" s="22">
        <f>IF(B97=0,"",MAX(B87:B96))</f>
        <v/>
      </c>
      <c r="C107" s="22">
        <f>IF(C97=0,"",MAX(C87:C96))</f>
        <v/>
      </c>
      <c r="D107" s="22">
        <f>IF(D97=0,"",MAX(D87:D96))</f>
        <v/>
      </c>
      <c r="E107" s="2" t="n"/>
      <c r="F107" s="22">
        <f>IF(F97=0,"",MAX(F87:F96))</f>
        <v/>
      </c>
      <c r="G107" s="22">
        <f>IF(G97=0,"",MAX(G87:G96))</f>
        <v/>
      </c>
      <c r="H107" s="2" t="n"/>
    </row>
    <row r="108">
      <c r="A108" s="20" t="inlineStr">
        <is>
          <t>CV zw. Zyklen [%]</t>
        </is>
      </c>
      <c r="B108" s="24">
        <f>IF(OR(B97&lt;2,B98=0),"",B99/ABS(B98)*100)</f>
        <v/>
      </c>
      <c r="C108" s="24">
        <f>IF(OR(C97&lt;2,C98=0),"",C99/ABS(C98)*100)</f>
        <v/>
      </c>
      <c r="D108" s="24">
        <f>IF(OR(D97&lt;2,D98=0),"",D99/ABS(D98)*100)</f>
        <v/>
      </c>
      <c r="E108" s="2" t="n"/>
      <c r="F108" s="2" t="n"/>
      <c r="G108" s="2" t="n"/>
      <c r="H108" s="2" t="n"/>
    </row>
    <row r="109">
      <c r="A109" s="20" t="inlineStr">
        <is>
          <t>Zyklen mit kleinstem Wert</t>
        </is>
      </c>
      <c r="B109" s="21">
        <f>COUNTIF($E$87:$E$96,B$86)</f>
        <v/>
      </c>
      <c r="C109" s="21">
        <f>COUNTIF($E$87:$E$96,C$86)</f>
        <v/>
      </c>
      <c r="D109" s="21">
        <f>COUNTIF($E$87:$E$96,D$86)</f>
        <v/>
      </c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15" t="inlineStr">
        <is>
          <t>Mehrverbrauch Delta [W]</t>
        </is>
      </c>
      <c r="B112" s="2" t="n"/>
      <c r="C112" s="2" t="n"/>
      <c r="D112" s="2" t="n"/>
      <c r="E112" s="2" t="n"/>
      <c r="F112" s="2" t="n"/>
      <c r="G112" s="2" t="n"/>
      <c r="H112" s="2" t="n"/>
    </row>
    <row r="113">
      <c r="A113" s="3" t="inlineStr">
        <is>
          <t>Zyklus</t>
        </is>
      </c>
      <c r="B113" s="3" t="inlineStr">
        <is>
          <t>ALT (31.0.101.2115)</t>
        </is>
      </c>
      <c r="C113" s="3" t="inlineStr">
        <is>
          <t>MITTEL (31.0.101.2135)</t>
        </is>
      </c>
      <c r="D113" s="3" t="inlineStr">
        <is>
          <t>NEU (31.0.101.2141)</t>
        </is>
      </c>
      <c r="E113" s="3" t="inlineStr">
        <is>
          <t>Kleinster Wert</t>
        </is>
      </c>
      <c r="F113" s="3" t="inlineStr">
        <is>
          <t>MITTEL (31.0.101.2135) − ALT (31.0.101.2115)</t>
        </is>
      </c>
      <c r="G113" s="3" t="inlineStr">
        <is>
          <t>NEU (31.0.101.2141) − ALT (31.0.101.2115)</t>
        </is>
      </c>
      <c r="H113" s="3" t="inlineStr">
        <is>
          <t>Hinweis</t>
        </is>
      </c>
    </row>
    <row r="114">
      <c r="A114" s="7" t="n">
        <v>1</v>
      </c>
      <c r="B114" s="8" t="n">
        <v>44.073874</v>
      </c>
      <c r="C114" s="8" t="n">
        <v>43.711663</v>
      </c>
      <c r="D114" s="8" t="n">
        <v>42.595128</v>
      </c>
      <c r="E114" s="7">
        <f>IF(COUNT(B114:D114)=0,"",INDEX($B$113:$D$113,MATCH(MIN(B114:D114),B114:D114,0)))</f>
        <v/>
      </c>
      <c r="F114" s="8">
        <f>IF(OR(C114="",B114=""),"",C114-B114)</f>
        <v/>
      </c>
      <c r="G114" s="8">
        <f>IF(OR(D114="",B114=""),"",D114-B114)</f>
        <v/>
      </c>
      <c r="H114" s="2" t="inlineStr"/>
    </row>
    <row r="115">
      <c r="A115" s="7" t="n">
        <v>2</v>
      </c>
      <c r="B115" s="8" t="n">
        <v>45.220168</v>
      </c>
      <c r="C115" s="8" t="n">
        <v>43.418532</v>
      </c>
      <c r="D115" s="8" t="n">
        <v>42.490673</v>
      </c>
      <c r="E115" s="7">
        <f>IF(COUNT(B115:D115)=0,"",INDEX($B$113:$D$113,MATCH(MIN(B115:D115),B115:D115,0)))</f>
        <v/>
      </c>
      <c r="F115" s="8">
        <f>IF(OR(C115="",B115=""),"",C115-B115)</f>
        <v/>
      </c>
      <c r="G115" s="8">
        <f>IF(OR(D115="",B115=""),"",D115-B115)</f>
        <v/>
      </c>
      <c r="H115" s="2" t="inlineStr"/>
    </row>
    <row r="116">
      <c r="A116" s="7" t="n">
        <v>3</v>
      </c>
      <c r="B116" s="8" t="n">
        <v>44.606766</v>
      </c>
      <c r="C116" s="8" t="n">
        <v>45.102879</v>
      </c>
      <c r="D116" s="8" t="n">
        <v>44.806109</v>
      </c>
      <c r="E116" s="7">
        <f>IF(COUNT(B116:D116)=0,"",INDEX($B$113:$D$113,MATCH(MIN(B116:D116),B116:D116,0)))</f>
        <v/>
      </c>
      <c r="F116" s="8">
        <f>IF(OR(C116="",B116=""),"",C116-B116)</f>
        <v/>
      </c>
      <c r="G116" s="8">
        <f>IF(OR(D116="",B116=""),"",D116-B116)</f>
        <v/>
      </c>
      <c r="H116" s="2" t="inlineStr"/>
    </row>
    <row r="117">
      <c r="A117" s="7" t="n">
        <v>4</v>
      </c>
      <c r="B117" s="8" t="n">
        <v>44.724601</v>
      </c>
      <c r="C117" s="8" t="n">
        <v>45.033164</v>
      </c>
      <c r="D117" s="8" t="n">
        <v>44.840691</v>
      </c>
      <c r="E117" s="7">
        <f>IF(COUNT(B117:D117)=0,"",INDEX($B$113:$D$113,MATCH(MIN(B117:D117),B117:D117,0)))</f>
        <v/>
      </c>
      <c r="F117" s="8">
        <f>IF(OR(C117="",B117=""),"",C117-B117)</f>
        <v/>
      </c>
      <c r="G117" s="8">
        <f>IF(OR(D117="",B117=""),"",D117-B117)</f>
        <v/>
      </c>
      <c r="H117" s="2" t="inlineStr"/>
    </row>
    <row r="118">
      <c r="A118" s="7" t="n">
        <v>5</v>
      </c>
      <c r="B118" s="8" t="n">
        <v>44.920417</v>
      </c>
      <c r="C118" s="8" t="n">
        <v>44.851961</v>
      </c>
      <c r="D118" s="8" t="n">
        <v>45.085741</v>
      </c>
      <c r="E118" s="7">
        <f>IF(COUNT(B118:D118)=0,"",INDEX($B$113:$D$113,MATCH(MIN(B118:D118),B118:D118,0)))</f>
        <v/>
      </c>
      <c r="F118" s="8">
        <f>IF(OR(C118="",B118=""),"",C118-B118)</f>
        <v/>
      </c>
      <c r="G118" s="8">
        <f>IF(OR(D118="",B118=""),"",D118-B118)</f>
        <v/>
      </c>
      <c r="H118" s="2" t="inlineStr"/>
    </row>
    <row r="119">
      <c r="A119" s="7" t="n">
        <v>6</v>
      </c>
      <c r="B119" s="8" t="n">
        <v>44.991264</v>
      </c>
      <c r="C119" s="8" t="n">
        <v>45.214975</v>
      </c>
      <c r="D119" s="8" t="n">
        <v>45.199615</v>
      </c>
      <c r="E119" s="7">
        <f>IF(COUNT(B119:D119)=0,"",INDEX($B$113:$D$113,MATCH(MIN(B119:D119),B119:D119,0)))</f>
        <v/>
      </c>
      <c r="F119" s="8">
        <f>IF(OR(C119="",B119=""),"",C119-B119)</f>
        <v/>
      </c>
      <c r="G119" s="8">
        <f>IF(OR(D119="",B119=""),"",D119-B119)</f>
        <v/>
      </c>
      <c r="H119" s="2" t="inlineStr"/>
    </row>
    <row r="120">
      <c r="A120" s="7" t="n">
        <v>7</v>
      </c>
      <c r="B120" s="8" t="n">
        <v>44.62767</v>
      </c>
      <c r="C120" s="8" t="n">
        <v>45.152766</v>
      </c>
      <c r="D120" s="8" t="n">
        <v>45.009066</v>
      </c>
      <c r="E120" s="7">
        <f>IF(COUNT(B120:D120)=0,"",INDEX($B$113:$D$113,MATCH(MIN(B120:D120),B120:D120,0)))</f>
        <v/>
      </c>
      <c r="F120" s="8">
        <f>IF(OR(C120="",B120=""),"",C120-B120)</f>
        <v/>
      </c>
      <c r="G120" s="8">
        <f>IF(OR(D120="",B120=""),"",D120-B120)</f>
        <v/>
      </c>
      <c r="H120" s="2" t="inlineStr"/>
    </row>
    <row r="121">
      <c r="A121" s="7" t="n">
        <v>8</v>
      </c>
      <c r="B121" s="8" t="n">
        <v>44.93504</v>
      </c>
      <c r="C121" s="8" t="n">
        <v>45.058588</v>
      </c>
      <c r="D121" s="8" t="n">
        <v>45.142821</v>
      </c>
      <c r="E121" s="7">
        <f>IF(COUNT(B121:D121)=0,"",INDEX($B$113:$D$113,MATCH(MIN(B121:D121),B121:D121,0)))</f>
        <v/>
      </c>
      <c r="F121" s="8">
        <f>IF(OR(C121="",B121=""),"",C121-B121)</f>
        <v/>
      </c>
      <c r="G121" s="8">
        <f>IF(OR(D121="",B121=""),"",D121-B121)</f>
        <v/>
      </c>
      <c r="H121" s="2" t="inlineStr"/>
    </row>
    <row r="122">
      <c r="A122" s="7" t="n">
        <v>9</v>
      </c>
      <c r="B122" s="8" t="n">
        <v>44.997575</v>
      </c>
      <c r="C122" s="8" t="n">
        <v>45.210059</v>
      </c>
      <c r="D122" s="8" t="n">
        <v>45.13491</v>
      </c>
      <c r="E122" s="7">
        <f>IF(COUNT(B122:D122)=0,"",INDEX($B$113:$D$113,MATCH(MIN(B122:D122),B122:D122,0)))</f>
        <v/>
      </c>
      <c r="F122" s="8">
        <f>IF(OR(C122="",B122=""),"",C122-B122)</f>
        <v/>
      </c>
      <c r="G122" s="8">
        <f>IF(OR(D122="",B122=""),"",D122-B122)</f>
        <v/>
      </c>
      <c r="H122" s="2" t="inlineStr"/>
    </row>
    <row r="123">
      <c r="A123" s="7" t="n">
        <v>10</v>
      </c>
      <c r="B123" s="8" t="n">
        <v>44.949724</v>
      </c>
      <c r="C123" s="8" t="n">
        <v>44.947991</v>
      </c>
      <c r="D123" s="8" t="n">
        <v>45.172692</v>
      </c>
      <c r="E123" s="7">
        <f>IF(COUNT(B123:D123)=0,"",INDEX($B$113:$D$113,MATCH(MIN(B123:D123),B123:D123,0)))</f>
        <v/>
      </c>
      <c r="F123" s="8">
        <f>IF(OR(C123="",B123=""),"",C123-B123)</f>
        <v/>
      </c>
      <c r="G123" s="8">
        <f>IF(OR(D123="",B123=""),"",D123-B123)</f>
        <v/>
      </c>
      <c r="H123" s="2" t="inlineStr"/>
    </row>
    <row r="124">
      <c r="A124" s="20" t="inlineStr">
        <is>
          <t>n</t>
        </is>
      </c>
      <c r="B124" s="21">
        <f>COUNT(B114:B123)</f>
        <v/>
      </c>
      <c r="C124" s="21">
        <f>COUNT(C114:C123)</f>
        <v/>
      </c>
      <c r="D124" s="21">
        <f>COUNT(D114:D123)</f>
        <v/>
      </c>
      <c r="E124" s="2" t="n"/>
      <c r="F124" s="21">
        <f>COUNT(F114:F123)</f>
        <v/>
      </c>
      <c r="G124" s="21">
        <f>COUNT(G114:G123)</f>
        <v/>
      </c>
      <c r="H124" s="2" t="n"/>
    </row>
    <row r="125">
      <c r="A125" s="20" t="inlineStr">
        <is>
          <t>Mittelwert</t>
        </is>
      </c>
      <c r="B125" s="22">
        <f>IF(B124=0,"",AVERAGE(B114:B123))</f>
        <v/>
      </c>
      <c r="C125" s="22">
        <f>IF(C124=0,"",AVERAGE(C114:C123))</f>
        <v/>
      </c>
      <c r="D125" s="22">
        <f>IF(D124=0,"",AVERAGE(D114:D123))</f>
        <v/>
      </c>
      <c r="E125" s="2" t="n"/>
      <c r="F125" s="22">
        <f>IF(F124=0,"",AVERAGE(F114:F123))</f>
        <v/>
      </c>
      <c r="G125" s="22">
        <f>IF(G124=0,"",AVERAGE(G114:G123))</f>
        <v/>
      </c>
      <c r="H125" s="2" t="n"/>
    </row>
    <row r="126">
      <c r="A126" s="20" t="inlineStr">
        <is>
          <t>Standardabweichung</t>
        </is>
      </c>
      <c r="B126" s="22">
        <f>IF(B124&lt;2,"",STDEV(B114:B123))</f>
        <v/>
      </c>
      <c r="C126" s="22">
        <f>IF(C124&lt;2,"",STDEV(C114:C123))</f>
        <v/>
      </c>
      <c r="D126" s="22">
        <f>IF(D124&lt;2,"",STDEV(D114:D123))</f>
        <v/>
      </c>
      <c r="E126" s="2" t="n"/>
      <c r="F126" s="22">
        <f>IF(F124&lt;2,"",STDEV(F114:F123))</f>
        <v/>
      </c>
      <c r="G126" s="22">
        <f>IF(G124&lt;2,"",STDEV(G114:G123))</f>
        <v/>
      </c>
      <c r="H126" s="2" t="n"/>
    </row>
    <row r="127">
      <c r="A127" s="20" t="inlineStr">
        <is>
          <t>Varianz</t>
        </is>
      </c>
      <c r="B127" s="23">
        <f>IF(B124&lt;2,"",VAR(B114:B123))</f>
        <v/>
      </c>
      <c r="C127" s="23">
        <f>IF(C124&lt;2,"",VAR(C114:C123))</f>
        <v/>
      </c>
      <c r="D127" s="23">
        <f>IF(D124&lt;2,"",VAR(D114:D123))</f>
        <v/>
      </c>
      <c r="E127" s="2" t="n"/>
      <c r="F127" s="23">
        <f>IF(F124&lt;2,"",VAR(F114:F123))</f>
        <v/>
      </c>
      <c r="G127" s="23">
        <f>IF(G124&lt;2,"",VAR(G114:G123))</f>
        <v/>
      </c>
      <c r="H127" s="2" t="n"/>
    </row>
    <row r="128">
      <c r="A128" s="20" t="inlineStr">
        <is>
          <t>Spannweite</t>
        </is>
      </c>
      <c r="B128" s="22">
        <f>IF(B124=0,"",MAX(B114:B123)-MIN(B114:B123))</f>
        <v/>
      </c>
      <c r="C128" s="22">
        <f>IF(C124=0,"",MAX(C114:C123)-MIN(C114:C123))</f>
        <v/>
      </c>
      <c r="D128" s="22">
        <f>IF(D124=0,"",MAX(D114:D123)-MIN(D114:D123))</f>
        <v/>
      </c>
      <c r="E128" s="2" t="n"/>
      <c r="F128" s="22">
        <f>IF(F124=0,"",MAX(F114:F123)-MIN(F114:F123))</f>
        <v/>
      </c>
      <c r="G128" s="22">
        <f>IF(G124=0,"",MAX(G114:G123)-MIN(G114:G123))</f>
        <v/>
      </c>
      <c r="H128" s="2" t="n"/>
    </row>
    <row r="129">
      <c r="A129" s="20" t="inlineStr">
        <is>
          <t>95-%-KI ±</t>
        </is>
      </c>
      <c r="B129" s="22">
        <f>IF(B124&lt;2,"",TINV(0.05,B124-1)*B126/SQRT(B124))</f>
        <v/>
      </c>
      <c r="C129" s="22">
        <f>IF(C124&lt;2,"",TINV(0.05,C124-1)*C126/SQRT(C124))</f>
        <v/>
      </c>
      <c r="D129" s="22">
        <f>IF(D124&lt;2,"",TINV(0.05,D124-1)*D126/SQRT(D124))</f>
        <v/>
      </c>
      <c r="E129" s="2" t="n"/>
      <c r="F129" s="22">
        <f>IF(F124&lt;2,"",TINV(0.05,F124-1)*F126/SQRT(F124))</f>
        <v/>
      </c>
      <c r="G129" s="22">
        <f>IF(G124&lt;2,"",TINV(0.05,G124-1)*G126/SQRT(G124))</f>
        <v/>
      </c>
      <c r="H129" s="2" t="n"/>
    </row>
    <row r="130">
      <c r="A130" s="20" t="inlineStr">
        <is>
          <t>KI unten</t>
        </is>
      </c>
      <c r="B130" s="22">
        <f>IF(B124&lt;2,"",B125-B129)</f>
        <v/>
      </c>
      <c r="C130" s="22">
        <f>IF(C124&lt;2,"",C125-C129)</f>
        <v/>
      </c>
      <c r="D130" s="22">
        <f>IF(D124&lt;2,"",D125-D129)</f>
        <v/>
      </c>
      <c r="E130" s="2" t="n"/>
      <c r="F130" s="22">
        <f>IF(F124&lt;2,"",F125-F129)</f>
        <v/>
      </c>
      <c r="G130" s="22">
        <f>IF(G124&lt;2,"",G125-G129)</f>
        <v/>
      </c>
      <c r="H130" s="2" t="n"/>
    </row>
    <row r="131">
      <c r="A131" s="20" t="inlineStr">
        <is>
          <t>KI oben</t>
        </is>
      </c>
      <c r="B131" s="22">
        <f>IF(B124&lt;2,"",B125+B129)</f>
        <v/>
      </c>
      <c r="C131" s="22">
        <f>IF(C124&lt;2,"",C125+C129)</f>
        <v/>
      </c>
      <c r="D131" s="22">
        <f>IF(D124&lt;2,"",D125+D129)</f>
        <v/>
      </c>
      <c r="E131" s="2" t="n"/>
      <c r="F131" s="22">
        <f>IF(F124&lt;2,"",F125+F129)</f>
        <v/>
      </c>
      <c r="G131" s="22">
        <f>IF(G124&lt;2,"",G125+G129)</f>
        <v/>
      </c>
      <c r="H131" s="2" t="n"/>
    </row>
    <row r="132">
      <c r="A132" s="20" t="inlineStr">
        <is>
          <t>Median</t>
        </is>
      </c>
      <c r="B132" s="22">
        <f>IF(B124=0,"",MEDIAN(B114:B123))</f>
        <v/>
      </c>
      <c r="C132" s="22">
        <f>IF(C124=0,"",MEDIAN(C114:C123))</f>
        <v/>
      </c>
      <c r="D132" s="22">
        <f>IF(D124=0,"",MEDIAN(D114:D123))</f>
        <v/>
      </c>
      <c r="E132" s="2" t="n"/>
      <c r="F132" s="22">
        <f>IF(F124=0,"",MEDIAN(F114:F123))</f>
        <v/>
      </c>
      <c r="G132" s="22">
        <f>IF(G124=0,"",MEDIAN(G114:G123))</f>
        <v/>
      </c>
      <c r="H132" s="2" t="n"/>
    </row>
    <row r="133">
      <c r="A133" s="20" t="inlineStr">
        <is>
          <t>Minimum</t>
        </is>
      </c>
      <c r="B133" s="22">
        <f>IF(B124=0,"",MIN(B114:B123))</f>
        <v/>
      </c>
      <c r="C133" s="22">
        <f>IF(C124=0,"",MIN(C114:C123))</f>
        <v/>
      </c>
      <c r="D133" s="22">
        <f>IF(D124=0,"",MIN(D114:D123))</f>
        <v/>
      </c>
      <c r="E133" s="2" t="n"/>
      <c r="F133" s="22">
        <f>IF(F124=0,"",MIN(F114:F123))</f>
        <v/>
      </c>
      <c r="G133" s="22">
        <f>IF(G124=0,"",MIN(G114:G123))</f>
        <v/>
      </c>
      <c r="H133" s="2" t="n"/>
    </row>
    <row r="134">
      <c r="A134" s="20" t="inlineStr">
        <is>
          <t>Maximum</t>
        </is>
      </c>
      <c r="B134" s="22">
        <f>IF(B124=0,"",MAX(B114:B123))</f>
        <v/>
      </c>
      <c r="C134" s="22">
        <f>IF(C124=0,"",MAX(C114:C123))</f>
        <v/>
      </c>
      <c r="D134" s="22">
        <f>IF(D124=0,"",MAX(D114:D123))</f>
        <v/>
      </c>
      <c r="E134" s="2" t="n"/>
      <c r="F134" s="22">
        <f>IF(F124=0,"",MAX(F114:F123))</f>
        <v/>
      </c>
      <c r="G134" s="22">
        <f>IF(G124=0,"",MAX(G114:G123))</f>
        <v/>
      </c>
      <c r="H134" s="2" t="n"/>
    </row>
    <row r="135">
      <c r="A135" s="20" t="inlineStr">
        <is>
          <t>CV zw. Zyklen [%]</t>
        </is>
      </c>
      <c r="B135" s="24">
        <f>IF(OR(B124&lt;2,B125=0),"",B126/ABS(B125)*100)</f>
        <v/>
      </c>
      <c r="C135" s="24">
        <f>IF(OR(C124&lt;2,C125=0),"",C126/ABS(C125)*100)</f>
        <v/>
      </c>
      <c r="D135" s="24">
        <f>IF(OR(D124&lt;2,D125=0),"",D126/ABS(D125)*100)</f>
        <v/>
      </c>
      <c r="E135" s="2" t="n"/>
      <c r="F135" s="2" t="n"/>
      <c r="G135" s="2" t="n"/>
      <c r="H135" s="2" t="n"/>
    </row>
    <row r="136">
      <c r="A136" s="20" t="inlineStr">
        <is>
          <t>Zyklen mit kleinstem Wert</t>
        </is>
      </c>
      <c r="B136" s="21">
        <f>COUNTIF($E$114:$E$123,B$113)</f>
        <v/>
      </c>
      <c r="C136" s="21">
        <f>COUNTIF($E$114:$E$123,C$113)</f>
        <v/>
      </c>
      <c r="D136" s="21">
        <f>COUNTIF($E$114:$E$123,D$113)</f>
        <v/>
      </c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15" t="inlineStr">
        <is>
          <t>Energie Lastfenster [Wh]</t>
        </is>
      </c>
      <c r="B139" s="2" t="n"/>
      <c r="C139" s="2" t="n"/>
      <c r="D139" s="2" t="n"/>
      <c r="E139" s="2" t="n"/>
      <c r="F139" s="2" t="n"/>
      <c r="G139" s="2" t="n"/>
      <c r="H139" s="2" t="n"/>
    </row>
    <row r="140">
      <c r="A140" s="3" t="inlineStr">
        <is>
          <t>Zyklus</t>
        </is>
      </c>
      <c r="B140" s="3" t="inlineStr">
        <is>
          <t>ALT (31.0.101.2115)</t>
        </is>
      </c>
      <c r="C140" s="3" t="inlineStr">
        <is>
          <t>MITTEL (31.0.101.2135)</t>
        </is>
      </c>
      <c r="D140" s="3" t="inlineStr">
        <is>
          <t>NEU (31.0.101.2141)</t>
        </is>
      </c>
      <c r="E140" s="3" t="inlineStr">
        <is>
          <t>Kleinster Wert</t>
        </is>
      </c>
      <c r="F140" s="3" t="inlineStr">
        <is>
          <t>MITTEL (31.0.101.2135) − ALT (31.0.101.2115)</t>
        </is>
      </c>
      <c r="G140" s="3" t="inlineStr">
        <is>
          <t>NEU (31.0.101.2141) − ALT (31.0.101.2115)</t>
        </is>
      </c>
      <c r="H140" s="3" t="inlineStr">
        <is>
          <t>Hinweis</t>
        </is>
      </c>
    </row>
    <row r="141">
      <c r="A141" s="7" t="n">
        <v>1</v>
      </c>
      <c r="B141" s="9" t="n">
        <v>2.761189</v>
      </c>
      <c r="C141" s="9" t="n">
        <v>2.745257</v>
      </c>
      <c r="D141" s="9" t="n">
        <v>2.748731</v>
      </c>
      <c r="E141" s="7">
        <f>IF(COUNT(B141:D141)=0,"",INDEX($B$140:$D$140,MATCH(MIN(B141:D141),B141:D141,0)))</f>
        <v/>
      </c>
      <c r="F141" s="9">
        <f>IF(OR(C141="",B141=""),"",C141-B141)</f>
        <v/>
      </c>
      <c r="G141" s="9">
        <f>IF(OR(D141="",B141=""),"",D141-B141)</f>
        <v/>
      </c>
      <c r="H141" s="2" t="inlineStr"/>
    </row>
    <row r="142">
      <c r="A142" s="7" t="n">
        <v>2</v>
      </c>
      <c r="B142" s="9" t="n">
        <v>2.785574</v>
      </c>
      <c r="C142" s="9" t="n">
        <v>2.76278</v>
      </c>
      <c r="D142" s="9" t="n">
        <v>2.766543</v>
      </c>
      <c r="E142" s="7">
        <f>IF(COUNT(B142:D142)=0,"",INDEX($B$140:$D$140,MATCH(MIN(B142:D142),B142:D142,0)))</f>
        <v/>
      </c>
      <c r="F142" s="9">
        <f>IF(OR(C142="",B142=""),"",C142-B142)</f>
        <v/>
      </c>
      <c r="G142" s="9">
        <f>IF(OR(D142="",B142=""),"",D142-B142)</f>
        <v/>
      </c>
      <c r="H142" s="2" t="inlineStr"/>
    </row>
    <row r="143">
      <c r="A143" s="7" t="n">
        <v>3</v>
      </c>
      <c r="B143" s="9" t="n">
        <v>2.813999</v>
      </c>
      <c r="C143" s="9" t="n">
        <v>2.757988</v>
      </c>
      <c r="D143" s="9" t="n">
        <v>2.755985</v>
      </c>
      <c r="E143" s="7">
        <f>IF(COUNT(B143:D143)=0,"",INDEX($B$140:$D$140,MATCH(MIN(B143:D143),B143:D143,0)))</f>
        <v/>
      </c>
      <c r="F143" s="9">
        <f>IF(OR(C143="",B143=""),"",C143-B143)</f>
        <v/>
      </c>
      <c r="G143" s="9">
        <f>IF(OR(D143="",B143=""),"",D143-B143)</f>
        <v/>
      </c>
      <c r="H143" s="2" t="inlineStr"/>
    </row>
    <row r="144">
      <c r="A144" s="7" t="n">
        <v>4</v>
      </c>
      <c r="B144" s="9" t="n">
        <v>2.797838</v>
      </c>
      <c r="C144" s="9" t="n">
        <v>2.74756</v>
      </c>
      <c r="D144" s="9" t="n">
        <v>2.76006</v>
      </c>
      <c r="E144" s="7">
        <f>IF(COUNT(B144:D144)=0,"",INDEX($B$140:$D$140,MATCH(MIN(B144:D144),B144:D144,0)))</f>
        <v/>
      </c>
      <c r="F144" s="9">
        <f>IF(OR(C144="",B144=""),"",C144-B144)</f>
        <v/>
      </c>
      <c r="G144" s="9">
        <f>IF(OR(D144="",B144=""),"",D144-B144)</f>
        <v/>
      </c>
      <c r="H144" s="2" t="inlineStr"/>
    </row>
    <row r="145">
      <c r="A145" s="7" t="n">
        <v>5</v>
      </c>
      <c r="B145" s="9" t="n">
        <v>2.807587</v>
      </c>
      <c r="C145" s="9" t="n">
        <v>2.742627</v>
      </c>
      <c r="D145" s="9" t="n">
        <v>2.74286</v>
      </c>
      <c r="E145" s="7">
        <f>IF(COUNT(B145:D145)=0,"",INDEX($B$140:$D$140,MATCH(MIN(B145:D145),B145:D145,0)))</f>
        <v/>
      </c>
      <c r="F145" s="9">
        <f>IF(OR(C145="",B145=""),"",C145-B145)</f>
        <v/>
      </c>
      <c r="G145" s="9">
        <f>IF(OR(D145="",B145=""),"",D145-B145)</f>
        <v/>
      </c>
      <c r="H145" s="2" t="inlineStr"/>
    </row>
    <row r="146">
      <c r="A146" s="7" t="n">
        <v>6</v>
      </c>
      <c r="B146" s="9" t="n">
        <v>2.808917</v>
      </c>
      <c r="C146" s="9" t="n">
        <v>2.75009</v>
      </c>
      <c r="D146" s="9" t="n">
        <v>2.754166</v>
      </c>
      <c r="E146" s="7">
        <f>IF(COUNT(B146:D146)=0,"",INDEX($B$140:$D$140,MATCH(MIN(B146:D146),B146:D146,0)))</f>
        <v/>
      </c>
      <c r="F146" s="9">
        <f>IF(OR(C146="",B146=""),"",C146-B146)</f>
        <v/>
      </c>
      <c r="G146" s="9">
        <f>IF(OR(D146="",B146=""),"",D146-B146)</f>
        <v/>
      </c>
      <c r="H146" s="2" t="inlineStr"/>
    </row>
    <row r="147">
      <c r="A147" s="7" t="n">
        <v>7</v>
      </c>
      <c r="B147" s="9" t="n">
        <v>2.784781</v>
      </c>
      <c r="C147" s="9" t="n">
        <v>2.74531</v>
      </c>
      <c r="D147" s="9" t="n">
        <v>2.743764</v>
      </c>
      <c r="E147" s="7">
        <f>IF(COUNT(B147:D147)=0,"",INDEX($B$140:$D$140,MATCH(MIN(B147:D147),B147:D147,0)))</f>
        <v/>
      </c>
      <c r="F147" s="9">
        <f>IF(OR(C147="",B147=""),"",C147-B147)</f>
        <v/>
      </c>
      <c r="G147" s="9">
        <f>IF(OR(D147="",B147=""),"",D147-B147)</f>
        <v/>
      </c>
      <c r="H147" s="2" t="inlineStr"/>
    </row>
    <row r="148">
      <c r="A148" s="7" t="n">
        <v>8</v>
      </c>
      <c r="B148" s="9" t="n">
        <v>2.798485</v>
      </c>
      <c r="C148" s="9" t="n">
        <v>2.726278</v>
      </c>
      <c r="D148" s="9" t="n">
        <v>2.751272</v>
      </c>
      <c r="E148" s="7">
        <f>IF(COUNT(B148:D148)=0,"",INDEX($B$140:$D$140,MATCH(MIN(B148:D148),B148:D148,0)))</f>
        <v/>
      </c>
      <c r="F148" s="9">
        <f>IF(OR(C148="",B148=""),"",C148-B148)</f>
        <v/>
      </c>
      <c r="G148" s="9">
        <f>IF(OR(D148="",B148=""),"",D148-B148)</f>
        <v/>
      </c>
      <c r="H148" s="2" t="inlineStr"/>
    </row>
    <row r="149">
      <c r="A149" s="7" t="n">
        <v>9</v>
      </c>
      <c r="B149" s="9" t="n">
        <v>2.793507</v>
      </c>
      <c r="C149" s="9" t="n">
        <v>2.746888</v>
      </c>
      <c r="D149" s="9" t="n">
        <v>2.74899</v>
      </c>
      <c r="E149" s="7">
        <f>IF(COUNT(B149:D149)=0,"",INDEX($B$140:$D$140,MATCH(MIN(B149:D149),B149:D149,0)))</f>
        <v/>
      </c>
      <c r="F149" s="9">
        <f>IF(OR(C149="",B149=""),"",C149-B149)</f>
        <v/>
      </c>
      <c r="G149" s="9">
        <f>IF(OR(D149="",B149=""),"",D149-B149)</f>
        <v/>
      </c>
      <c r="H149" s="2" t="inlineStr"/>
    </row>
    <row r="150">
      <c r="A150" s="7" t="n">
        <v>10</v>
      </c>
      <c r="B150" s="9" t="n">
        <v>2.798464</v>
      </c>
      <c r="C150" s="9" t="n">
        <v>2.752276</v>
      </c>
      <c r="D150" s="9" t="n">
        <v>2.750959</v>
      </c>
      <c r="E150" s="7">
        <f>IF(COUNT(B150:D150)=0,"",INDEX($B$140:$D$140,MATCH(MIN(B150:D150),B150:D150,0)))</f>
        <v/>
      </c>
      <c r="F150" s="9">
        <f>IF(OR(C150="",B150=""),"",C150-B150)</f>
        <v/>
      </c>
      <c r="G150" s="9">
        <f>IF(OR(D150="",B150=""),"",D150-B150)</f>
        <v/>
      </c>
      <c r="H150" s="2" t="inlineStr"/>
    </row>
    <row r="151">
      <c r="A151" s="20" t="inlineStr">
        <is>
          <t>n</t>
        </is>
      </c>
      <c r="B151" s="21">
        <f>COUNT(B141:B150)</f>
        <v/>
      </c>
      <c r="C151" s="21">
        <f>COUNT(C141:C150)</f>
        <v/>
      </c>
      <c r="D151" s="21">
        <f>COUNT(D141:D150)</f>
        <v/>
      </c>
      <c r="E151" s="2" t="n"/>
      <c r="F151" s="21">
        <f>COUNT(F141:F150)</f>
        <v/>
      </c>
      <c r="G151" s="21">
        <f>COUNT(G141:G150)</f>
        <v/>
      </c>
      <c r="H151" s="2" t="n"/>
    </row>
    <row r="152">
      <c r="A152" s="20" t="inlineStr">
        <is>
          <t>Mittelwert</t>
        </is>
      </c>
      <c r="B152" s="23">
        <f>IF(B151=0,"",AVERAGE(B141:B150))</f>
        <v/>
      </c>
      <c r="C152" s="23">
        <f>IF(C151=0,"",AVERAGE(C141:C150))</f>
        <v/>
      </c>
      <c r="D152" s="23">
        <f>IF(D151=0,"",AVERAGE(D141:D150))</f>
        <v/>
      </c>
      <c r="E152" s="2" t="n"/>
      <c r="F152" s="23">
        <f>IF(F151=0,"",AVERAGE(F141:F150))</f>
        <v/>
      </c>
      <c r="G152" s="23">
        <f>IF(G151=0,"",AVERAGE(G141:G150))</f>
        <v/>
      </c>
      <c r="H152" s="2" t="n"/>
    </row>
    <row r="153">
      <c r="A153" s="20" t="inlineStr">
        <is>
          <t>Standardabweichung</t>
        </is>
      </c>
      <c r="B153" s="23">
        <f>IF(B151&lt;2,"",STDEV(B141:B150))</f>
        <v/>
      </c>
      <c r="C153" s="23">
        <f>IF(C151&lt;2,"",STDEV(C141:C150))</f>
        <v/>
      </c>
      <c r="D153" s="23">
        <f>IF(D151&lt;2,"",STDEV(D141:D150))</f>
        <v/>
      </c>
      <c r="E153" s="2" t="n"/>
      <c r="F153" s="23">
        <f>IF(F151&lt;2,"",STDEV(F141:F150))</f>
        <v/>
      </c>
      <c r="G153" s="23">
        <f>IF(G151&lt;2,"",STDEV(G141:G150))</f>
        <v/>
      </c>
      <c r="H153" s="2" t="n"/>
    </row>
    <row r="154">
      <c r="A154" s="20" t="inlineStr">
        <is>
          <t>Varianz</t>
        </is>
      </c>
      <c r="B154" s="25">
        <f>IF(B151&lt;2,"",VAR(B141:B150))</f>
        <v/>
      </c>
      <c r="C154" s="25">
        <f>IF(C151&lt;2,"",VAR(C141:C150))</f>
        <v/>
      </c>
      <c r="D154" s="25">
        <f>IF(D151&lt;2,"",VAR(D141:D150))</f>
        <v/>
      </c>
      <c r="E154" s="2" t="n"/>
      <c r="F154" s="25">
        <f>IF(F151&lt;2,"",VAR(F141:F150))</f>
        <v/>
      </c>
      <c r="G154" s="25">
        <f>IF(G151&lt;2,"",VAR(G141:G150))</f>
        <v/>
      </c>
      <c r="H154" s="2" t="n"/>
    </row>
    <row r="155">
      <c r="A155" s="20" t="inlineStr">
        <is>
          <t>Spannweite</t>
        </is>
      </c>
      <c r="B155" s="23">
        <f>IF(B151=0,"",MAX(B141:B150)-MIN(B141:B150))</f>
        <v/>
      </c>
      <c r="C155" s="23">
        <f>IF(C151=0,"",MAX(C141:C150)-MIN(C141:C150))</f>
        <v/>
      </c>
      <c r="D155" s="23">
        <f>IF(D151=0,"",MAX(D141:D150)-MIN(D141:D150))</f>
        <v/>
      </c>
      <c r="E155" s="2" t="n"/>
      <c r="F155" s="23">
        <f>IF(F151=0,"",MAX(F141:F150)-MIN(F141:F150))</f>
        <v/>
      </c>
      <c r="G155" s="23">
        <f>IF(G151=0,"",MAX(G141:G150)-MIN(G141:G150))</f>
        <v/>
      </c>
      <c r="H155" s="2" t="n"/>
    </row>
    <row r="156">
      <c r="A156" s="20" t="inlineStr">
        <is>
          <t>95-%-KI ±</t>
        </is>
      </c>
      <c r="B156" s="23">
        <f>IF(B151&lt;2,"",TINV(0.05,B151-1)*B153/SQRT(B151))</f>
        <v/>
      </c>
      <c r="C156" s="23">
        <f>IF(C151&lt;2,"",TINV(0.05,C151-1)*C153/SQRT(C151))</f>
        <v/>
      </c>
      <c r="D156" s="23">
        <f>IF(D151&lt;2,"",TINV(0.05,D151-1)*D153/SQRT(D151))</f>
        <v/>
      </c>
      <c r="E156" s="2" t="n"/>
      <c r="F156" s="23">
        <f>IF(F151&lt;2,"",TINV(0.05,F151-1)*F153/SQRT(F151))</f>
        <v/>
      </c>
      <c r="G156" s="23">
        <f>IF(G151&lt;2,"",TINV(0.05,G151-1)*G153/SQRT(G151))</f>
        <v/>
      </c>
      <c r="H156" s="2" t="n"/>
    </row>
    <row r="157">
      <c r="A157" s="20" t="inlineStr">
        <is>
          <t>KI unten</t>
        </is>
      </c>
      <c r="B157" s="23">
        <f>IF(B151&lt;2,"",B152-B156)</f>
        <v/>
      </c>
      <c r="C157" s="23">
        <f>IF(C151&lt;2,"",C152-C156)</f>
        <v/>
      </c>
      <c r="D157" s="23">
        <f>IF(D151&lt;2,"",D152-D156)</f>
        <v/>
      </c>
      <c r="E157" s="2" t="n"/>
      <c r="F157" s="23">
        <f>IF(F151&lt;2,"",F152-F156)</f>
        <v/>
      </c>
      <c r="G157" s="23">
        <f>IF(G151&lt;2,"",G152-G156)</f>
        <v/>
      </c>
      <c r="H157" s="2" t="n"/>
    </row>
    <row r="158">
      <c r="A158" s="20" t="inlineStr">
        <is>
          <t>KI oben</t>
        </is>
      </c>
      <c r="B158" s="23">
        <f>IF(B151&lt;2,"",B152+B156)</f>
        <v/>
      </c>
      <c r="C158" s="23">
        <f>IF(C151&lt;2,"",C152+C156)</f>
        <v/>
      </c>
      <c r="D158" s="23">
        <f>IF(D151&lt;2,"",D152+D156)</f>
        <v/>
      </c>
      <c r="E158" s="2" t="n"/>
      <c r="F158" s="23">
        <f>IF(F151&lt;2,"",F152+F156)</f>
        <v/>
      </c>
      <c r="G158" s="23">
        <f>IF(G151&lt;2,"",G152+G156)</f>
        <v/>
      </c>
      <c r="H158" s="2" t="n"/>
    </row>
    <row r="159">
      <c r="A159" s="20" t="inlineStr">
        <is>
          <t>Median</t>
        </is>
      </c>
      <c r="B159" s="23">
        <f>IF(B151=0,"",MEDIAN(B141:B150))</f>
        <v/>
      </c>
      <c r="C159" s="23">
        <f>IF(C151=0,"",MEDIAN(C141:C150))</f>
        <v/>
      </c>
      <c r="D159" s="23">
        <f>IF(D151=0,"",MEDIAN(D141:D150))</f>
        <v/>
      </c>
      <c r="E159" s="2" t="n"/>
      <c r="F159" s="23">
        <f>IF(F151=0,"",MEDIAN(F141:F150))</f>
        <v/>
      </c>
      <c r="G159" s="23">
        <f>IF(G151=0,"",MEDIAN(G141:G150))</f>
        <v/>
      </c>
      <c r="H159" s="2" t="n"/>
    </row>
    <row r="160">
      <c r="A160" s="20" t="inlineStr">
        <is>
          <t>Minimum</t>
        </is>
      </c>
      <c r="B160" s="23">
        <f>IF(B151=0,"",MIN(B141:B150))</f>
        <v/>
      </c>
      <c r="C160" s="23">
        <f>IF(C151=0,"",MIN(C141:C150))</f>
        <v/>
      </c>
      <c r="D160" s="23">
        <f>IF(D151=0,"",MIN(D141:D150))</f>
        <v/>
      </c>
      <c r="E160" s="2" t="n"/>
      <c r="F160" s="23">
        <f>IF(F151=0,"",MIN(F141:F150))</f>
        <v/>
      </c>
      <c r="G160" s="23">
        <f>IF(G151=0,"",MIN(G141:G150))</f>
        <v/>
      </c>
      <c r="H160" s="2" t="n"/>
    </row>
    <row r="161">
      <c r="A161" s="20" t="inlineStr">
        <is>
          <t>Maximum</t>
        </is>
      </c>
      <c r="B161" s="23">
        <f>IF(B151=0,"",MAX(B141:B150))</f>
        <v/>
      </c>
      <c r="C161" s="23">
        <f>IF(C151=0,"",MAX(C141:C150))</f>
        <v/>
      </c>
      <c r="D161" s="23">
        <f>IF(D151=0,"",MAX(D141:D150))</f>
        <v/>
      </c>
      <c r="E161" s="2" t="n"/>
      <c r="F161" s="23">
        <f>IF(F151=0,"",MAX(F141:F150))</f>
        <v/>
      </c>
      <c r="G161" s="23">
        <f>IF(G151=0,"",MAX(G141:G150))</f>
        <v/>
      </c>
      <c r="H161" s="2" t="n"/>
    </row>
    <row r="162">
      <c r="A162" s="20" t="inlineStr">
        <is>
          <t>CV zw. Zyklen [%]</t>
        </is>
      </c>
      <c r="B162" s="24">
        <f>IF(OR(B151&lt;2,B152=0),"",B153/ABS(B152)*100)</f>
        <v/>
      </c>
      <c r="C162" s="24">
        <f>IF(OR(C151&lt;2,C152=0),"",C153/ABS(C152)*100)</f>
        <v/>
      </c>
      <c r="D162" s="24">
        <f>IF(OR(D151&lt;2,D152=0),"",D153/ABS(D152)*100)</f>
        <v/>
      </c>
      <c r="E162" s="2" t="n"/>
      <c r="F162" s="2" t="n"/>
      <c r="G162" s="2" t="n"/>
      <c r="H162" s="2" t="n"/>
    </row>
    <row r="163">
      <c r="A163" s="20" t="inlineStr">
        <is>
          <t>Zyklen mit kleinstem Wert</t>
        </is>
      </c>
      <c r="B163" s="21">
        <f>COUNTIF($E$141:$E$150,B$140)</f>
        <v/>
      </c>
      <c r="C163" s="21">
        <f>COUNTIF($E$141:$E$150,C$140)</f>
        <v/>
      </c>
      <c r="D163" s="21">
        <f>COUNTIF($E$141:$E$150,D$140)</f>
        <v/>
      </c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15" t="inlineStr">
        <is>
          <t>CV innerhalb Last [%]</t>
        </is>
      </c>
      <c r="B166" s="2" t="n"/>
      <c r="C166" s="2" t="n"/>
      <c r="D166" s="2" t="n"/>
      <c r="E166" s="2" t="n"/>
      <c r="F166" s="2" t="n"/>
      <c r="G166" s="2" t="n"/>
      <c r="H166" s="2" t="n"/>
    </row>
    <row r="167">
      <c r="A167" s="3" t="inlineStr">
        <is>
          <t>Zyklus</t>
        </is>
      </c>
      <c r="B167" s="3" t="inlineStr">
        <is>
          <t>ALT (31.0.101.2115)</t>
        </is>
      </c>
      <c r="C167" s="3" t="inlineStr">
        <is>
          <t>MITTEL (31.0.101.2135)</t>
        </is>
      </c>
      <c r="D167" s="3" t="inlineStr">
        <is>
          <t>NEU (31.0.101.2141)</t>
        </is>
      </c>
      <c r="E167" s="3" t="inlineStr">
        <is>
          <t>Kleinster Wert</t>
        </is>
      </c>
      <c r="F167" s="3" t="inlineStr">
        <is>
          <t>MITTEL (31.0.101.2135) − ALT (31.0.101.2115)</t>
        </is>
      </c>
      <c r="G167" s="3" t="inlineStr">
        <is>
          <t>NEU (31.0.101.2141) − ALT (31.0.101.2115)</t>
        </is>
      </c>
      <c r="H167" s="3" t="inlineStr">
        <is>
          <t>Hinweis</t>
        </is>
      </c>
    </row>
    <row r="168">
      <c r="A168" s="7" t="n">
        <v>1</v>
      </c>
      <c r="B168" s="8" t="n">
        <v>3.330647</v>
      </c>
      <c r="C168" s="8" t="n">
        <v>3.157103</v>
      </c>
      <c r="D168" s="8" t="n">
        <v>4.080132</v>
      </c>
      <c r="E168" s="7">
        <f>IF(COUNT(B168:D168)=0,"",INDEX($B$167:$D$167,MATCH(MIN(B168:D168),B168:D168,0)))</f>
        <v/>
      </c>
      <c r="F168" s="8">
        <f>IF(OR(C168="",B168=""),"",C168-B168)</f>
        <v/>
      </c>
      <c r="G168" s="8">
        <f>IF(OR(D168="",B168=""),"",D168-B168)</f>
        <v/>
      </c>
      <c r="H168" s="2" t="inlineStr"/>
    </row>
    <row r="169">
      <c r="A169" s="7" t="n">
        <v>2</v>
      </c>
      <c r="B169" s="8" t="n">
        <v>2.996836</v>
      </c>
      <c r="C169" s="8" t="n">
        <v>4.331125</v>
      </c>
      <c r="D169" s="8" t="n">
        <v>4.704777</v>
      </c>
      <c r="E169" s="7">
        <f>IF(COUNT(B169:D169)=0,"",INDEX($B$167:$D$167,MATCH(MIN(B169:D169),B169:D169,0)))</f>
        <v/>
      </c>
      <c r="F169" s="8">
        <f>IF(OR(C169="",B169=""),"",C169-B169)</f>
        <v/>
      </c>
      <c r="G169" s="8">
        <f>IF(OR(D169="",B169=""),"",D169-B169)</f>
        <v/>
      </c>
      <c r="H169" s="2" t="inlineStr"/>
    </row>
    <row r="170">
      <c r="A170" s="7" t="n">
        <v>3</v>
      </c>
      <c r="B170" s="8" t="n">
        <v>3.279659</v>
      </c>
      <c r="C170" s="8" t="n">
        <v>3.999104</v>
      </c>
      <c r="D170" s="8" t="n">
        <v>3.324635</v>
      </c>
      <c r="E170" s="7">
        <f>IF(COUNT(B170:D170)=0,"",INDEX($B$167:$D$167,MATCH(MIN(B170:D170),B170:D170,0)))</f>
        <v/>
      </c>
      <c r="F170" s="8">
        <f>IF(OR(C170="",B170=""),"",C170-B170)</f>
        <v/>
      </c>
      <c r="G170" s="8">
        <f>IF(OR(D170="",B170=""),"",D170-B170)</f>
        <v/>
      </c>
      <c r="H170" s="2" t="inlineStr"/>
    </row>
    <row r="171">
      <c r="A171" s="7" t="n">
        <v>4</v>
      </c>
      <c r="B171" s="8" t="n">
        <v>3.215795</v>
      </c>
      <c r="C171" s="8" t="n">
        <v>3.270254</v>
      </c>
      <c r="D171" s="8" t="n">
        <v>3.885579</v>
      </c>
      <c r="E171" s="7">
        <f>IF(COUNT(B171:D171)=0,"",INDEX($B$167:$D$167,MATCH(MIN(B171:D171),B171:D171,0)))</f>
        <v/>
      </c>
      <c r="F171" s="8">
        <f>IF(OR(C171="",B171=""),"",C171-B171)</f>
        <v/>
      </c>
      <c r="G171" s="8">
        <f>IF(OR(D171="",B171=""),"",D171-B171)</f>
        <v/>
      </c>
      <c r="H171" s="2" t="inlineStr"/>
    </row>
    <row r="172">
      <c r="A172" s="7" t="n">
        <v>5</v>
      </c>
      <c r="B172" s="8" t="n">
        <v>3.647055</v>
      </c>
      <c r="C172" s="8" t="n">
        <v>2.908881</v>
      </c>
      <c r="D172" s="8" t="n">
        <v>2.667304</v>
      </c>
      <c r="E172" s="7">
        <f>IF(COUNT(B172:D172)=0,"",INDEX($B$167:$D$167,MATCH(MIN(B172:D172),B172:D172,0)))</f>
        <v/>
      </c>
      <c r="F172" s="8">
        <f>IF(OR(C172="",B172=""),"",C172-B172)</f>
        <v/>
      </c>
      <c r="G172" s="8">
        <f>IF(OR(D172="",B172=""),"",D172-B172)</f>
        <v/>
      </c>
      <c r="H172" s="2" t="inlineStr"/>
    </row>
    <row r="173">
      <c r="A173" s="7" t="n">
        <v>6</v>
      </c>
      <c r="B173" s="8" t="n">
        <v>3.519632</v>
      </c>
      <c r="C173" s="8" t="n">
        <v>3.627466</v>
      </c>
      <c r="D173" s="8" t="n">
        <v>3.417524</v>
      </c>
      <c r="E173" s="7">
        <f>IF(COUNT(B173:D173)=0,"",INDEX($B$167:$D$167,MATCH(MIN(B173:D173),B173:D173,0)))</f>
        <v/>
      </c>
      <c r="F173" s="8">
        <f>IF(OR(C173="",B173=""),"",C173-B173)</f>
        <v/>
      </c>
      <c r="G173" s="8">
        <f>IF(OR(D173="",B173=""),"",D173-B173)</f>
        <v/>
      </c>
      <c r="H173" s="2" t="inlineStr"/>
    </row>
    <row r="174">
      <c r="A174" s="7" t="n">
        <v>7</v>
      </c>
      <c r="B174" s="8" t="n">
        <v>3.30427</v>
      </c>
      <c r="C174" s="8" t="n">
        <v>3.470438</v>
      </c>
      <c r="D174" s="8" t="n">
        <v>3.680927</v>
      </c>
      <c r="E174" s="7">
        <f>IF(COUNT(B174:D174)=0,"",INDEX($B$167:$D$167,MATCH(MIN(B174:D174),B174:D174,0)))</f>
        <v/>
      </c>
      <c r="F174" s="8">
        <f>IF(OR(C174="",B174=""),"",C174-B174)</f>
        <v/>
      </c>
      <c r="G174" s="8">
        <f>IF(OR(D174="",B174=""),"",D174-B174)</f>
        <v/>
      </c>
      <c r="H174" s="2" t="inlineStr"/>
    </row>
    <row r="175">
      <c r="A175" s="7" t="n">
        <v>8</v>
      </c>
      <c r="B175" s="8" t="n">
        <v>3.242922</v>
      </c>
      <c r="C175" s="8" t="n">
        <v>2.322566</v>
      </c>
      <c r="D175" s="8" t="n">
        <v>2.994617</v>
      </c>
      <c r="E175" s="7">
        <f>IF(COUNT(B175:D175)=0,"",INDEX($B$167:$D$167,MATCH(MIN(B175:D175),B175:D175,0)))</f>
        <v/>
      </c>
      <c r="F175" s="8">
        <f>IF(OR(C175="",B175=""),"",C175-B175)</f>
        <v/>
      </c>
      <c r="G175" s="8">
        <f>IF(OR(D175="",B175=""),"",D175-B175)</f>
        <v/>
      </c>
      <c r="H175" s="2" t="inlineStr"/>
    </row>
    <row r="176">
      <c r="A176" s="7" t="n">
        <v>9</v>
      </c>
      <c r="B176" s="8" t="n">
        <v>2.365006</v>
      </c>
      <c r="C176" s="8" t="n">
        <v>3.491694</v>
      </c>
      <c r="D176" s="8" t="n">
        <v>3.13255</v>
      </c>
      <c r="E176" s="7">
        <f>IF(COUNT(B176:D176)=0,"",INDEX($B$167:$D$167,MATCH(MIN(B176:D176),B176:D176,0)))</f>
        <v/>
      </c>
      <c r="F176" s="8">
        <f>IF(OR(C176="",B176=""),"",C176-B176)</f>
        <v/>
      </c>
      <c r="G176" s="8">
        <f>IF(OR(D176="",B176=""),"",D176-B176)</f>
        <v/>
      </c>
      <c r="H176" s="2" t="inlineStr"/>
    </row>
    <row r="177">
      <c r="A177" s="7" t="n">
        <v>10</v>
      </c>
      <c r="B177" s="8" t="n">
        <v>3.100653</v>
      </c>
      <c r="C177" s="8" t="n">
        <v>4.233178</v>
      </c>
      <c r="D177" s="8" t="n">
        <v>3.220085</v>
      </c>
      <c r="E177" s="7">
        <f>IF(COUNT(B177:D177)=0,"",INDEX($B$167:$D$167,MATCH(MIN(B177:D177),B177:D177,0)))</f>
        <v/>
      </c>
      <c r="F177" s="8">
        <f>IF(OR(C177="",B177=""),"",C177-B177)</f>
        <v/>
      </c>
      <c r="G177" s="8">
        <f>IF(OR(D177="",B177=""),"",D177-B177)</f>
        <v/>
      </c>
      <c r="H177" s="2" t="inlineStr"/>
    </row>
    <row r="178">
      <c r="A178" s="20" t="inlineStr">
        <is>
          <t>n</t>
        </is>
      </c>
      <c r="B178" s="21">
        <f>COUNT(B168:B177)</f>
        <v/>
      </c>
      <c r="C178" s="21">
        <f>COUNT(C168:C177)</f>
        <v/>
      </c>
      <c r="D178" s="21">
        <f>COUNT(D168:D177)</f>
        <v/>
      </c>
      <c r="E178" s="2" t="n"/>
      <c r="F178" s="21">
        <f>COUNT(F168:F177)</f>
        <v/>
      </c>
      <c r="G178" s="21">
        <f>COUNT(G168:G177)</f>
        <v/>
      </c>
      <c r="H178" s="2" t="n"/>
    </row>
    <row r="179">
      <c r="A179" s="20" t="inlineStr">
        <is>
          <t>Mittelwert</t>
        </is>
      </c>
      <c r="B179" s="22">
        <f>IF(B178=0,"",AVERAGE(B168:B177))</f>
        <v/>
      </c>
      <c r="C179" s="22">
        <f>IF(C178=0,"",AVERAGE(C168:C177))</f>
        <v/>
      </c>
      <c r="D179" s="22">
        <f>IF(D178=0,"",AVERAGE(D168:D177))</f>
        <v/>
      </c>
      <c r="E179" s="2" t="n"/>
      <c r="F179" s="22">
        <f>IF(F178=0,"",AVERAGE(F168:F177))</f>
        <v/>
      </c>
      <c r="G179" s="22">
        <f>IF(G178=0,"",AVERAGE(G168:G177))</f>
        <v/>
      </c>
      <c r="H179" s="2" t="n"/>
    </row>
    <row r="180">
      <c r="A180" s="20" t="inlineStr">
        <is>
          <t>Standardabweichung</t>
        </is>
      </c>
      <c r="B180" s="22">
        <f>IF(B178&lt;2,"",STDEV(B168:B177))</f>
        <v/>
      </c>
      <c r="C180" s="22">
        <f>IF(C178&lt;2,"",STDEV(C168:C177))</f>
        <v/>
      </c>
      <c r="D180" s="22">
        <f>IF(D178&lt;2,"",STDEV(D168:D177))</f>
        <v/>
      </c>
      <c r="E180" s="2" t="n"/>
      <c r="F180" s="22">
        <f>IF(F178&lt;2,"",STDEV(F168:F177))</f>
        <v/>
      </c>
      <c r="G180" s="22">
        <f>IF(G178&lt;2,"",STDEV(G168:G177))</f>
        <v/>
      </c>
      <c r="H180" s="2" t="n"/>
    </row>
    <row r="181">
      <c r="A181" s="20" t="inlineStr">
        <is>
          <t>Varianz</t>
        </is>
      </c>
      <c r="B181" s="23">
        <f>IF(B178&lt;2,"",VAR(B168:B177))</f>
        <v/>
      </c>
      <c r="C181" s="23">
        <f>IF(C178&lt;2,"",VAR(C168:C177))</f>
        <v/>
      </c>
      <c r="D181" s="23">
        <f>IF(D178&lt;2,"",VAR(D168:D177))</f>
        <v/>
      </c>
      <c r="E181" s="2" t="n"/>
      <c r="F181" s="23">
        <f>IF(F178&lt;2,"",VAR(F168:F177))</f>
        <v/>
      </c>
      <c r="G181" s="23">
        <f>IF(G178&lt;2,"",VAR(G168:G177))</f>
        <v/>
      </c>
      <c r="H181" s="2" t="n"/>
    </row>
    <row r="182">
      <c r="A182" s="20" t="inlineStr">
        <is>
          <t>Spannweite</t>
        </is>
      </c>
      <c r="B182" s="22">
        <f>IF(B178=0,"",MAX(B168:B177)-MIN(B168:B177))</f>
        <v/>
      </c>
      <c r="C182" s="22">
        <f>IF(C178=0,"",MAX(C168:C177)-MIN(C168:C177))</f>
        <v/>
      </c>
      <c r="D182" s="22">
        <f>IF(D178=0,"",MAX(D168:D177)-MIN(D168:D177))</f>
        <v/>
      </c>
      <c r="E182" s="2" t="n"/>
      <c r="F182" s="22">
        <f>IF(F178=0,"",MAX(F168:F177)-MIN(F168:F177))</f>
        <v/>
      </c>
      <c r="G182" s="22">
        <f>IF(G178=0,"",MAX(G168:G177)-MIN(G168:G177))</f>
        <v/>
      </c>
      <c r="H182" s="2" t="n"/>
    </row>
    <row r="183">
      <c r="A183" s="20" t="inlineStr">
        <is>
          <t>95-%-KI ±</t>
        </is>
      </c>
      <c r="B183" s="22">
        <f>IF(B178&lt;2,"",TINV(0.05,B178-1)*B180/SQRT(B178))</f>
        <v/>
      </c>
      <c r="C183" s="22">
        <f>IF(C178&lt;2,"",TINV(0.05,C178-1)*C180/SQRT(C178))</f>
        <v/>
      </c>
      <c r="D183" s="22">
        <f>IF(D178&lt;2,"",TINV(0.05,D178-1)*D180/SQRT(D178))</f>
        <v/>
      </c>
      <c r="E183" s="2" t="n"/>
      <c r="F183" s="22">
        <f>IF(F178&lt;2,"",TINV(0.05,F178-1)*F180/SQRT(F178))</f>
        <v/>
      </c>
      <c r="G183" s="22">
        <f>IF(G178&lt;2,"",TINV(0.05,G178-1)*G180/SQRT(G178))</f>
        <v/>
      </c>
      <c r="H183" s="2" t="n"/>
    </row>
    <row r="184">
      <c r="A184" s="20" t="inlineStr">
        <is>
          <t>KI unten</t>
        </is>
      </c>
      <c r="B184" s="22">
        <f>IF(B178&lt;2,"",B179-B183)</f>
        <v/>
      </c>
      <c r="C184" s="22">
        <f>IF(C178&lt;2,"",C179-C183)</f>
        <v/>
      </c>
      <c r="D184" s="22">
        <f>IF(D178&lt;2,"",D179-D183)</f>
        <v/>
      </c>
      <c r="E184" s="2" t="n"/>
      <c r="F184" s="22">
        <f>IF(F178&lt;2,"",F179-F183)</f>
        <v/>
      </c>
      <c r="G184" s="22">
        <f>IF(G178&lt;2,"",G179-G183)</f>
        <v/>
      </c>
      <c r="H184" s="2" t="n"/>
    </row>
    <row r="185">
      <c r="A185" s="20" t="inlineStr">
        <is>
          <t>KI oben</t>
        </is>
      </c>
      <c r="B185" s="22">
        <f>IF(B178&lt;2,"",B179+B183)</f>
        <v/>
      </c>
      <c r="C185" s="22">
        <f>IF(C178&lt;2,"",C179+C183)</f>
        <v/>
      </c>
      <c r="D185" s="22">
        <f>IF(D178&lt;2,"",D179+D183)</f>
        <v/>
      </c>
      <c r="E185" s="2" t="n"/>
      <c r="F185" s="22">
        <f>IF(F178&lt;2,"",F179+F183)</f>
        <v/>
      </c>
      <c r="G185" s="22">
        <f>IF(G178&lt;2,"",G179+G183)</f>
        <v/>
      </c>
      <c r="H185" s="2" t="n"/>
    </row>
    <row r="186">
      <c r="A186" s="20" t="inlineStr">
        <is>
          <t>Median</t>
        </is>
      </c>
      <c r="B186" s="22">
        <f>IF(B178=0,"",MEDIAN(B168:B177))</f>
        <v/>
      </c>
      <c r="C186" s="22">
        <f>IF(C178=0,"",MEDIAN(C168:C177))</f>
        <v/>
      </c>
      <c r="D186" s="22">
        <f>IF(D178=0,"",MEDIAN(D168:D177))</f>
        <v/>
      </c>
      <c r="E186" s="2" t="n"/>
      <c r="F186" s="22">
        <f>IF(F178=0,"",MEDIAN(F168:F177))</f>
        <v/>
      </c>
      <c r="G186" s="22">
        <f>IF(G178=0,"",MEDIAN(G168:G177))</f>
        <v/>
      </c>
      <c r="H186" s="2" t="n"/>
    </row>
    <row r="187">
      <c r="A187" s="20" t="inlineStr">
        <is>
          <t>Minimum</t>
        </is>
      </c>
      <c r="B187" s="22">
        <f>IF(B178=0,"",MIN(B168:B177))</f>
        <v/>
      </c>
      <c r="C187" s="22">
        <f>IF(C178=0,"",MIN(C168:C177))</f>
        <v/>
      </c>
      <c r="D187" s="22">
        <f>IF(D178=0,"",MIN(D168:D177))</f>
        <v/>
      </c>
      <c r="E187" s="2" t="n"/>
      <c r="F187" s="22">
        <f>IF(F178=0,"",MIN(F168:F177))</f>
        <v/>
      </c>
      <c r="G187" s="22">
        <f>IF(G178=0,"",MIN(G168:G177))</f>
        <v/>
      </c>
      <c r="H187" s="2" t="n"/>
    </row>
    <row r="188">
      <c r="A188" s="20" t="inlineStr">
        <is>
          <t>Maximum</t>
        </is>
      </c>
      <c r="B188" s="22">
        <f>IF(B178=0,"",MAX(B168:B177))</f>
        <v/>
      </c>
      <c r="C188" s="22">
        <f>IF(C178=0,"",MAX(C168:C177))</f>
        <v/>
      </c>
      <c r="D188" s="22">
        <f>IF(D178=0,"",MAX(D168:D177))</f>
        <v/>
      </c>
      <c r="E188" s="2" t="n"/>
      <c r="F188" s="22">
        <f>IF(F178=0,"",MAX(F168:F177))</f>
        <v/>
      </c>
      <c r="G188" s="22">
        <f>IF(G178=0,"",MAX(G168:G177))</f>
        <v/>
      </c>
      <c r="H188" s="2" t="n"/>
    </row>
    <row r="189">
      <c r="A189" s="20" t="inlineStr">
        <is>
          <t>CV zw. Zyklen [%]</t>
        </is>
      </c>
      <c r="B189" s="24">
        <f>IF(OR(B178&lt;2,B179=0),"",B180/ABS(B179)*100)</f>
        <v/>
      </c>
      <c r="C189" s="24">
        <f>IF(OR(C178&lt;2,C179=0),"",C180/ABS(C179)*100)</f>
        <v/>
      </c>
      <c r="D189" s="24">
        <f>IF(OR(D178&lt;2,D179=0),"",D180/ABS(D179)*100)</f>
        <v/>
      </c>
      <c r="E189" s="2" t="n"/>
      <c r="F189" s="2" t="n"/>
      <c r="G189" s="2" t="n"/>
      <c r="H189" s="2" t="n"/>
    </row>
    <row r="190">
      <c r="A190" s="20" t="inlineStr">
        <is>
          <t>Zyklen mit kleinstem Wert</t>
        </is>
      </c>
      <c r="B190" s="21">
        <f>COUNTIF($E$168:$E$177,B$167)</f>
        <v/>
      </c>
      <c r="C190" s="21">
        <f>COUNTIF($E$168:$E$177,C$167)</f>
        <v/>
      </c>
      <c r="D190" s="21">
        <f>COUNTIF($E$168:$E$177,D$167)</f>
        <v/>
      </c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15" t="inlineStr">
        <is>
          <t>Schwankung in der Last, SD [W]</t>
        </is>
      </c>
      <c r="B193" s="2" t="n"/>
      <c r="C193" s="2" t="n"/>
      <c r="D193" s="2" t="n"/>
      <c r="E193" s="2" t="n"/>
      <c r="F193" s="2" t="n"/>
      <c r="G193" s="2" t="n"/>
      <c r="H193" s="2" t="n"/>
    </row>
    <row r="194">
      <c r="A194" s="3" t="inlineStr">
        <is>
          <t>Zyklus</t>
        </is>
      </c>
      <c r="B194" s="3" t="inlineStr">
        <is>
          <t>ALT (31.0.101.2115)</t>
        </is>
      </c>
      <c r="C194" s="3" t="inlineStr">
        <is>
          <t>MITTEL (31.0.101.2135)</t>
        </is>
      </c>
      <c r="D194" s="3" t="inlineStr">
        <is>
          <t>NEU (31.0.101.2141)</t>
        </is>
      </c>
      <c r="E194" s="3" t="inlineStr">
        <is>
          <t>Kleinster Wert</t>
        </is>
      </c>
      <c r="F194" s="3" t="inlineStr">
        <is>
          <t>MITTEL (31.0.101.2135) − ALT (31.0.101.2115)</t>
        </is>
      </c>
      <c r="G194" s="3" t="inlineStr">
        <is>
          <t>NEU (31.0.101.2141) − ALT (31.0.101.2115)</t>
        </is>
      </c>
      <c r="H194" s="3" t="inlineStr">
        <is>
          <t>Hinweis</t>
        </is>
      </c>
    </row>
    <row r="195">
      <c r="A195" s="7" t="n">
        <v>1</v>
      </c>
      <c r="B195" s="13" t="n">
        <v>1.781525</v>
      </c>
      <c r="C195" s="13" t="n">
        <v>1.670382</v>
      </c>
      <c r="D195" s="13" t="n">
        <v>2.160168</v>
      </c>
      <c r="E195" s="7">
        <f>IF(COUNT(B195:D195)=0,"",INDEX($B$194:$D$194,MATCH(MIN(B195:D195),B195:D195,0)))</f>
        <v/>
      </c>
      <c r="F195" s="13">
        <f>IF(OR(C195="",B195=""),"",C195-B195)</f>
        <v/>
      </c>
      <c r="G195" s="13">
        <f>IF(OR(D195="",B195=""),"",D195-B195)</f>
        <v/>
      </c>
      <c r="H195" s="2" t="inlineStr"/>
    </row>
    <row r="196">
      <c r="A196" s="7" t="n">
        <v>2</v>
      </c>
      <c r="B196" s="13" t="n">
        <v>1.627025</v>
      </c>
      <c r="C196" s="13" t="n">
        <v>2.291365</v>
      </c>
      <c r="D196" s="13" t="n">
        <v>2.518958</v>
      </c>
      <c r="E196" s="7">
        <f>IF(COUNT(B196:D196)=0,"",INDEX($B$194:$D$194,MATCH(MIN(B196:D196),B196:D196,0)))</f>
        <v/>
      </c>
      <c r="F196" s="13">
        <f>IF(OR(C196="",B196=""),"",C196-B196)</f>
        <v/>
      </c>
      <c r="G196" s="13">
        <f>IF(OR(D196="",B196=""),"",D196-B196)</f>
        <v/>
      </c>
      <c r="H196" s="2" t="inlineStr"/>
    </row>
    <row r="197">
      <c r="A197" s="7" t="n">
        <v>3</v>
      </c>
      <c r="B197" s="13" t="n">
        <v>1.77676</v>
      </c>
      <c r="C197" s="13" t="n">
        <v>2.134197</v>
      </c>
      <c r="D197" s="13" t="n">
        <v>1.774853</v>
      </c>
      <c r="E197" s="7">
        <f>IF(COUNT(B197:D197)=0,"",INDEX($B$194:$D$194,MATCH(MIN(B197:D197),B197:D197,0)))</f>
        <v/>
      </c>
      <c r="F197" s="13">
        <f>IF(OR(C197="",B197=""),"",C197-B197)</f>
        <v/>
      </c>
      <c r="G197" s="13">
        <f>IF(OR(D197="",B197=""),"",D197-B197)</f>
        <v/>
      </c>
      <c r="H197" s="2" t="inlineStr"/>
    </row>
    <row r="198">
      <c r="A198" s="7" t="n">
        <v>4</v>
      </c>
      <c r="B198" s="13" t="n">
        <v>1.742204</v>
      </c>
      <c r="C198" s="13" t="n">
        <v>1.738188</v>
      </c>
      <c r="D198" s="13" t="n">
        <v>2.064328</v>
      </c>
      <c r="E198" s="7">
        <f>IF(COUNT(B198:D198)=0,"",INDEX($B$194:$D$194,MATCH(MIN(B198:D198),B198:D198,0)))</f>
        <v/>
      </c>
      <c r="F198" s="13">
        <f>IF(OR(C198="",B198=""),"",C198-B198)</f>
        <v/>
      </c>
      <c r="G198" s="13">
        <f>IF(OR(D198="",B198=""),"",D198-B198)</f>
        <v/>
      </c>
      <c r="H198" s="2" t="inlineStr"/>
    </row>
    <row r="199">
      <c r="A199" s="7" t="n">
        <v>5</v>
      </c>
      <c r="B199" s="13" t="n">
        <v>1.982943</v>
      </c>
      <c r="C199" s="13" t="n">
        <v>1.545828</v>
      </c>
      <c r="D199" s="13" t="n">
        <v>1.418369</v>
      </c>
      <c r="E199" s="7">
        <f>IF(COUNT(B199:D199)=0,"",INDEX($B$194:$D$194,MATCH(MIN(B199:D199),B199:D199,0)))</f>
        <v/>
      </c>
      <c r="F199" s="13">
        <f>IF(OR(C199="",B199=""),"",C199-B199)</f>
        <v/>
      </c>
      <c r="G199" s="13">
        <f>IF(OR(D199="",B199=""),"",D199-B199)</f>
        <v/>
      </c>
      <c r="H199" s="2" t="inlineStr"/>
    </row>
    <row r="200">
      <c r="A200" s="7" t="n">
        <v>6</v>
      </c>
      <c r="B200" s="13" t="n">
        <v>1.913094</v>
      </c>
      <c r="C200" s="13" t="n">
        <v>1.930704</v>
      </c>
      <c r="D200" s="13" t="n">
        <v>1.821156</v>
      </c>
      <c r="E200" s="7">
        <f>IF(COUNT(B200:D200)=0,"",INDEX($B$194:$D$194,MATCH(MIN(B200:D200),B200:D200,0)))</f>
        <v/>
      </c>
      <c r="F200" s="13">
        <f>IF(OR(C200="",B200=""),"",C200-B200)</f>
        <v/>
      </c>
      <c r="G200" s="13">
        <f>IF(OR(D200="",B200=""),"",D200-B200)</f>
        <v/>
      </c>
      <c r="H200" s="2" t="inlineStr"/>
    </row>
    <row r="201">
      <c r="A201" s="7" t="n">
        <v>7</v>
      </c>
      <c r="B201" s="13" t="n">
        <v>1.778526</v>
      </c>
      <c r="C201" s="13" t="n">
        <v>1.841118</v>
      </c>
      <c r="D201" s="13" t="n">
        <v>1.951445</v>
      </c>
      <c r="E201" s="7">
        <f>IF(COUNT(B201:D201)=0,"",INDEX($B$194:$D$194,MATCH(MIN(B201:D201),B201:D201,0)))</f>
        <v/>
      </c>
      <c r="F201" s="13">
        <f>IF(OR(C201="",B201=""),"",C201-B201)</f>
        <v/>
      </c>
      <c r="G201" s="13">
        <f>IF(OR(D201="",B201=""),"",D201-B201)</f>
        <v/>
      </c>
      <c r="H201" s="2" t="inlineStr"/>
    </row>
    <row r="202">
      <c r="A202" s="7" t="n">
        <v>8</v>
      </c>
      <c r="B202" s="13" t="n">
        <v>1.75696</v>
      </c>
      <c r="C202" s="13" t="n">
        <v>1.233506</v>
      </c>
      <c r="D202" s="13" t="n">
        <v>1.595273</v>
      </c>
      <c r="E202" s="7">
        <f>IF(COUNT(B202:D202)=0,"",INDEX($B$194:$D$194,MATCH(MIN(B202:D202),B202:D202,0)))</f>
        <v/>
      </c>
      <c r="F202" s="13">
        <f>IF(OR(C202="",B202=""),"",C202-B202)</f>
        <v/>
      </c>
      <c r="G202" s="13">
        <f>IF(OR(D202="",B202=""),"",D202-B202)</f>
        <v/>
      </c>
      <c r="H202" s="2" t="inlineStr"/>
    </row>
    <row r="203">
      <c r="A203" s="7" t="n">
        <v>9</v>
      </c>
      <c r="B203" s="13" t="n">
        <v>1.279128</v>
      </c>
      <c r="C203" s="13" t="n">
        <v>1.855495</v>
      </c>
      <c r="D203" s="13" t="n">
        <v>1.666238</v>
      </c>
      <c r="E203" s="7">
        <f>IF(COUNT(B203:D203)=0,"",INDEX($B$194:$D$194,MATCH(MIN(B203:D203),B203:D203,0)))</f>
        <v/>
      </c>
      <c r="F203" s="13">
        <f>IF(OR(C203="",B203=""),"",C203-B203)</f>
        <v/>
      </c>
      <c r="G203" s="13">
        <f>IF(OR(D203="",B203=""),"",D203-B203)</f>
        <v/>
      </c>
      <c r="H203" s="2" t="inlineStr"/>
    </row>
    <row r="204">
      <c r="A204" s="7" t="n">
        <v>10</v>
      </c>
      <c r="B204" s="13" t="n">
        <v>1.67941</v>
      </c>
      <c r="C204" s="13" t="n">
        <v>2.241965</v>
      </c>
      <c r="D204" s="13" t="n">
        <v>1.713117</v>
      </c>
      <c r="E204" s="7">
        <f>IF(COUNT(B204:D204)=0,"",INDEX($B$194:$D$194,MATCH(MIN(B204:D204),B204:D204,0)))</f>
        <v/>
      </c>
      <c r="F204" s="13">
        <f>IF(OR(C204="",B204=""),"",C204-B204)</f>
        <v/>
      </c>
      <c r="G204" s="13">
        <f>IF(OR(D204="",B204=""),"",D204-B204)</f>
        <v/>
      </c>
      <c r="H204" s="2" t="inlineStr"/>
    </row>
    <row r="205">
      <c r="A205" s="20" t="inlineStr">
        <is>
          <t>n</t>
        </is>
      </c>
      <c r="B205" s="21">
        <f>COUNT(B195:B204)</f>
        <v/>
      </c>
      <c r="C205" s="21">
        <f>COUNT(C195:C204)</f>
        <v/>
      </c>
      <c r="D205" s="21">
        <f>COUNT(D195:D204)</f>
        <v/>
      </c>
      <c r="E205" s="2" t="n"/>
      <c r="F205" s="21">
        <f>COUNT(F195:F204)</f>
        <v/>
      </c>
      <c r="G205" s="21">
        <f>COUNT(G195:G204)</f>
        <v/>
      </c>
      <c r="H205" s="2" t="n"/>
    </row>
    <row r="206">
      <c r="A206" s="20" t="inlineStr">
        <is>
          <t>Mittelwert</t>
        </is>
      </c>
      <c r="B206" s="26">
        <f>IF(B205=0,"",AVERAGE(B195:B204))</f>
        <v/>
      </c>
      <c r="C206" s="26">
        <f>IF(C205=0,"",AVERAGE(C195:C204))</f>
        <v/>
      </c>
      <c r="D206" s="26">
        <f>IF(D205=0,"",AVERAGE(D195:D204))</f>
        <v/>
      </c>
      <c r="E206" s="2" t="n"/>
      <c r="F206" s="26">
        <f>IF(F205=0,"",AVERAGE(F195:F204))</f>
        <v/>
      </c>
      <c r="G206" s="26">
        <f>IF(G205=0,"",AVERAGE(G195:G204))</f>
        <v/>
      </c>
      <c r="H206" s="2" t="n"/>
    </row>
    <row r="207">
      <c r="A207" s="20" t="inlineStr">
        <is>
          <t>Standardabweichung</t>
        </is>
      </c>
      <c r="B207" s="26">
        <f>IF(B205&lt;2,"",STDEV(B195:B204))</f>
        <v/>
      </c>
      <c r="C207" s="26">
        <f>IF(C205&lt;2,"",STDEV(C195:C204))</f>
        <v/>
      </c>
      <c r="D207" s="26">
        <f>IF(D205&lt;2,"",STDEV(D195:D204))</f>
        <v/>
      </c>
      <c r="E207" s="2" t="n"/>
      <c r="F207" s="26">
        <f>IF(F205&lt;2,"",STDEV(F195:F204))</f>
        <v/>
      </c>
      <c r="G207" s="26">
        <f>IF(G205&lt;2,"",STDEV(G195:G204))</f>
        <v/>
      </c>
      <c r="H207" s="2" t="n"/>
    </row>
    <row r="208">
      <c r="A208" s="20" t="inlineStr">
        <is>
          <t>Varianz</t>
        </is>
      </c>
      <c r="B208" s="27">
        <f>IF(B205&lt;2,"",VAR(B195:B204))</f>
        <v/>
      </c>
      <c r="C208" s="27">
        <f>IF(C205&lt;2,"",VAR(C195:C204))</f>
        <v/>
      </c>
      <c r="D208" s="27">
        <f>IF(D205&lt;2,"",VAR(D195:D204))</f>
        <v/>
      </c>
      <c r="E208" s="2" t="n"/>
      <c r="F208" s="27">
        <f>IF(F205&lt;2,"",VAR(F195:F204))</f>
        <v/>
      </c>
      <c r="G208" s="27">
        <f>IF(G205&lt;2,"",VAR(G195:G204))</f>
        <v/>
      </c>
      <c r="H208" s="2" t="n"/>
    </row>
    <row r="209">
      <c r="A209" s="20" t="inlineStr">
        <is>
          <t>Spannweite</t>
        </is>
      </c>
      <c r="B209" s="26">
        <f>IF(B205=0,"",MAX(B195:B204)-MIN(B195:B204))</f>
        <v/>
      </c>
      <c r="C209" s="26">
        <f>IF(C205=0,"",MAX(C195:C204)-MIN(C195:C204))</f>
        <v/>
      </c>
      <c r="D209" s="26">
        <f>IF(D205=0,"",MAX(D195:D204)-MIN(D195:D204))</f>
        <v/>
      </c>
      <c r="E209" s="2" t="n"/>
      <c r="F209" s="26">
        <f>IF(F205=0,"",MAX(F195:F204)-MIN(F195:F204))</f>
        <v/>
      </c>
      <c r="G209" s="26">
        <f>IF(G205=0,"",MAX(G195:G204)-MIN(G195:G204))</f>
        <v/>
      </c>
      <c r="H209" s="2" t="n"/>
    </row>
    <row r="210">
      <c r="A210" s="20" t="inlineStr">
        <is>
          <t>95-%-KI ±</t>
        </is>
      </c>
      <c r="B210" s="26">
        <f>IF(B205&lt;2,"",TINV(0.05,B205-1)*B207/SQRT(B205))</f>
        <v/>
      </c>
      <c r="C210" s="26">
        <f>IF(C205&lt;2,"",TINV(0.05,C205-1)*C207/SQRT(C205))</f>
        <v/>
      </c>
      <c r="D210" s="26">
        <f>IF(D205&lt;2,"",TINV(0.05,D205-1)*D207/SQRT(D205))</f>
        <v/>
      </c>
      <c r="E210" s="2" t="n"/>
      <c r="F210" s="26">
        <f>IF(F205&lt;2,"",TINV(0.05,F205-1)*F207/SQRT(F205))</f>
        <v/>
      </c>
      <c r="G210" s="26">
        <f>IF(G205&lt;2,"",TINV(0.05,G205-1)*G207/SQRT(G205))</f>
        <v/>
      </c>
      <c r="H210" s="2" t="n"/>
    </row>
    <row r="211">
      <c r="A211" s="20" t="inlineStr">
        <is>
          <t>KI unten</t>
        </is>
      </c>
      <c r="B211" s="26">
        <f>IF(B205&lt;2,"",B206-B210)</f>
        <v/>
      </c>
      <c r="C211" s="26">
        <f>IF(C205&lt;2,"",C206-C210)</f>
        <v/>
      </c>
      <c r="D211" s="26">
        <f>IF(D205&lt;2,"",D206-D210)</f>
        <v/>
      </c>
      <c r="E211" s="2" t="n"/>
      <c r="F211" s="26">
        <f>IF(F205&lt;2,"",F206-F210)</f>
        <v/>
      </c>
      <c r="G211" s="26">
        <f>IF(G205&lt;2,"",G206-G210)</f>
        <v/>
      </c>
      <c r="H211" s="2" t="n"/>
    </row>
    <row r="212">
      <c r="A212" s="20" t="inlineStr">
        <is>
          <t>KI oben</t>
        </is>
      </c>
      <c r="B212" s="26">
        <f>IF(B205&lt;2,"",B206+B210)</f>
        <v/>
      </c>
      <c r="C212" s="26">
        <f>IF(C205&lt;2,"",C206+C210)</f>
        <v/>
      </c>
      <c r="D212" s="26">
        <f>IF(D205&lt;2,"",D206+D210)</f>
        <v/>
      </c>
      <c r="E212" s="2" t="n"/>
      <c r="F212" s="26">
        <f>IF(F205&lt;2,"",F206+F210)</f>
        <v/>
      </c>
      <c r="G212" s="26">
        <f>IF(G205&lt;2,"",G206+G210)</f>
        <v/>
      </c>
      <c r="H212" s="2" t="n"/>
    </row>
    <row r="213">
      <c r="A213" s="20" t="inlineStr">
        <is>
          <t>Median</t>
        </is>
      </c>
      <c r="B213" s="26">
        <f>IF(B205=0,"",MEDIAN(B195:B204))</f>
        <v/>
      </c>
      <c r="C213" s="26">
        <f>IF(C205=0,"",MEDIAN(C195:C204))</f>
        <v/>
      </c>
      <c r="D213" s="26">
        <f>IF(D205=0,"",MEDIAN(D195:D204))</f>
        <v/>
      </c>
      <c r="E213" s="2" t="n"/>
      <c r="F213" s="26">
        <f>IF(F205=0,"",MEDIAN(F195:F204))</f>
        <v/>
      </c>
      <c r="G213" s="26">
        <f>IF(G205=0,"",MEDIAN(G195:G204))</f>
        <v/>
      </c>
      <c r="H213" s="2" t="n"/>
    </row>
    <row r="214">
      <c r="A214" s="20" t="inlineStr">
        <is>
          <t>Minimum</t>
        </is>
      </c>
      <c r="B214" s="26">
        <f>IF(B205=0,"",MIN(B195:B204))</f>
        <v/>
      </c>
      <c r="C214" s="26">
        <f>IF(C205=0,"",MIN(C195:C204))</f>
        <v/>
      </c>
      <c r="D214" s="26">
        <f>IF(D205=0,"",MIN(D195:D204))</f>
        <v/>
      </c>
      <c r="E214" s="2" t="n"/>
      <c r="F214" s="26">
        <f>IF(F205=0,"",MIN(F195:F204))</f>
        <v/>
      </c>
      <c r="G214" s="26">
        <f>IF(G205=0,"",MIN(G195:G204))</f>
        <v/>
      </c>
      <c r="H214" s="2" t="n"/>
    </row>
    <row r="215">
      <c r="A215" s="20" t="inlineStr">
        <is>
          <t>Maximum</t>
        </is>
      </c>
      <c r="B215" s="26">
        <f>IF(B205=0,"",MAX(B195:B204))</f>
        <v/>
      </c>
      <c r="C215" s="26">
        <f>IF(C205=0,"",MAX(C195:C204))</f>
        <v/>
      </c>
      <c r="D215" s="26">
        <f>IF(D205=0,"",MAX(D195:D204))</f>
        <v/>
      </c>
      <c r="E215" s="2" t="n"/>
      <c r="F215" s="26">
        <f>IF(F205=0,"",MAX(F195:F204))</f>
        <v/>
      </c>
      <c r="G215" s="26">
        <f>IF(G205=0,"",MAX(G195:G204))</f>
        <v/>
      </c>
      <c r="H215" s="2" t="n"/>
    </row>
    <row r="216">
      <c r="A216" s="20" t="inlineStr">
        <is>
          <t>CV zw. Zyklen [%]</t>
        </is>
      </c>
      <c r="B216" s="24">
        <f>IF(OR(B205&lt;2,B206=0),"",B207/ABS(B206)*100)</f>
        <v/>
      </c>
      <c r="C216" s="24">
        <f>IF(OR(C205&lt;2,C206=0),"",C207/ABS(C206)*100)</f>
        <v/>
      </c>
      <c r="D216" s="24">
        <f>IF(OR(D205&lt;2,D206=0),"",D207/ABS(D206)*100)</f>
        <v/>
      </c>
      <c r="E216" s="2" t="n"/>
      <c r="F216" s="2" t="n"/>
      <c r="G216" s="2" t="n"/>
      <c r="H216" s="2" t="n"/>
    </row>
    <row r="217">
      <c r="A217" s="20" t="inlineStr">
        <is>
          <t>Zyklen mit kleinstem Wert</t>
        </is>
      </c>
      <c r="B217" s="21">
        <f>COUNTIF($E$195:$E$204,B$194)</f>
        <v/>
      </c>
      <c r="C217" s="21">
        <f>COUNTIF($E$195:$E$204,C$194)</f>
        <v/>
      </c>
      <c r="D217" s="21">
        <f>COUNTIF($E$195:$E$204,D$194)</f>
        <v/>
      </c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15" t="inlineStr">
        <is>
          <t>Schwankung im Leerlauf, SD [W]</t>
        </is>
      </c>
      <c r="B220" s="2" t="n"/>
      <c r="C220" s="2" t="n"/>
      <c r="D220" s="2" t="n"/>
      <c r="E220" s="2" t="n"/>
      <c r="F220" s="2" t="n"/>
      <c r="G220" s="2" t="n"/>
      <c r="H220" s="2" t="n"/>
    </row>
    <row r="221">
      <c r="A221" s="3" t="inlineStr">
        <is>
          <t>Zyklus</t>
        </is>
      </c>
      <c r="B221" s="3" t="inlineStr">
        <is>
          <t>ALT (31.0.101.2115)</t>
        </is>
      </c>
      <c r="C221" s="3" t="inlineStr">
        <is>
          <t>MITTEL (31.0.101.2135)</t>
        </is>
      </c>
      <c r="D221" s="3" t="inlineStr">
        <is>
          <t>NEU (31.0.101.2141)</t>
        </is>
      </c>
      <c r="E221" s="3" t="inlineStr">
        <is>
          <t>Kleinster Wert</t>
        </is>
      </c>
      <c r="F221" s="3" t="inlineStr">
        <is>
          <t>MITTEL (31.0.101.2135) − ALT (31.0.101.2115)</t>
        </is>
      </c>
      <c r="G221" s="3" t="inlineStr">
        <is>
          <t>NEU (31.0.101.2141) − ALT (31.0.101.2115)</t>
        </is>
      </c>
      <c r="H221" s="3" t="inlineStr">
        <is>
          <t>Hinweis</t>
        </is>
      </c>
    </row>
    <row r="222">
      <c r="A222" s="7" t="n">
        <v>1</v>
      </c>
      <c r="B222" s="13" t="n">
        <v>1.541078</v>
      </c>
      <c r="C222" s="13" t="n">
        <v>4.889499</v>
      </c>
      <c r="D222" s="13" t="n">
        <v>7.218771</v>
      </c>
      <c r="E222" s="7">
        <f>IF(COUNT(B222:D222)=0,"",INDEX($B$221:$D$221,MATCH(MIN(B222:D222),B222:D222,0)))</f>
        <v/>
      </c>
      <c r="F222" s="13">
        <f>IF(OR(C222="",B222=""),"",C222-B222)</f>
        <v/>
      </c>
      <c r="G222" s="13">
        <f>IF(OR(D222="",B222=""),"",D222-B222)</f>
        <v/>
      </c>
      <c r="H222" s="2" t="inlineStr"/>
    </row>
    <row r="223">
      <c r="A223" s="7" t="n">
        <v>2</v>
      </c>
      <c r="B223" s="13" t="n">
        <v>1.12386</v>
      </c>
      <c r="C223" s="13" t="n">
        <v>5.467049</v>
      </c>
      <c r="D223" s="13" t="n">
        <v>8.160156000000001</v>
      </c>
      <c r="E223" s="7">
        <f>IF(COUNT(B223:D223)=0,"",INDEX($B$221:$D$221,MATCH(MIN(B223:D223),B223:D223,0)))</f>
        <v/>
      </c>
      <c r="F223" s="13">
        <f>IF(OR(C223="",B223=""),"",C223-B223)</f>
        <v/>
      </c>
      <c r="G223" s="13">
        <f>IF(OR(D223="",B223=""),"",D223-B223)</f>
        <v/>
      </c>
      <c r="H223" s="2" t="inlineStr"/>
    </row>
    <row r="224">
      <c r="A224" s="7" t="n">
        <v>3</v>
      </c>
      <c r="B224" s="13" t="n">
        <v>1.692316</v>
      </c>
      <c r="C224" s="13" t="n">
        <v>1.4733</v>
      </c>
      <c r="D224" s="13" t="n">
        <v>1.550457</v>
      </c>
      <c r="E224" s="7">
        <f>IF(COUNT(B224:D224)=0,"",INDEX($B$221:$D$221,MATCH(MIN(B224:D224),B224:D224,0)))</f>
        <v/>
      </c>
      <c r="F224" s="13">
        <f>IF(OR(C224="",B224=""),"",C224-B224)</f>
        <v/>
      </c>
      <c r="G224" s="13">
        <f>IF(OR(D224="",B224=""),"",D224-B224)</f>
        <v/>
      </c>
      <c r="H224" s="2" t="inlineStr"/>
    </row>
    <row r="225">
      <c r="A225" s="7" t="n">
        <v>4</v>
      </c>
      <c r="B225" s="13" t="n">
        <v>1.627583</v>
      </c>
      <c r="C225" s="13" t="n">
        <v>1.333858</v>
      </c>
      <c r="D225" s="13" t="n">
        <v>1.406267</v>
      </c>
      <c r="E225" s="7">
        <f>IF(COUNT(B225:D225)=0,"",INDEX($B$221:$D$221,MATCH(MIN(B225:D225),B225:D225,0)))</f>
        <v/>
      </c>
      <c r="F225" s="13">
        <f>IF(OR(C225="",B225=""),"",C225-B225)</f>
        <v/>
      </c>
      <c r="G225" s="13">
        <f>IF(OR(D225="",B225=""),"",D225-B225)</f>
        <v/>
      </c>
      <c r="H225" s="2" t="inlineStr"/>
    </row>
    <row r="226">
      <c r="A226" s="7" t="n">
        <v>5</v>
      </c>
      <c r="B226" s="13" t="n">
        <v>1.326392</v>
      </c>
      <c r="C226" s="13" t="n">
        <v>1.434494</v>
      </c>
      <c r="D226" s="13" t="n">
        <v>1.281595</v>
      </c>
      <c r="E226" s="7">
        <f>IF(COUNT(B226:D226)=0,"",INDEX($B$221:$D$221,MATCH(MIN(B226:D226),B226:D226,0)))</f>
        <v/>
      </c>
      <c r="F226" s="13">
        <f>IF(OR(C226="",B226=""),"",C226-B226)</f>
        <v/>
      </c>
      <c r="G226" s="13">
        <f>IF(OR(D226="",B226=""),"",D226-B226)</f>
        <v/>
      </c>
      <c r="H226" s="2" t="inlineStr"/>
    </row>
    <row r="227">
      <c r="A227" s="7" t="n">
        <v>6</v>
      </c>
      <c r="B227" s="13" t="n">
        <v>0.897441</v>
      </c>
      <c r="C227" s="13" t="n">
        <v>1.21389</v>
      </c>
      <c r="D227" s="13" t="n">
        <v>1.383756</v>
      </c>
      <c r="E227" s="7">
        <f>IF(COUNT(B227:D227)=0,"",INDEX($B$221:$D$221,MATCH(MIN(B227:D227),B227:D227,0)))</f>
        <v/>
      </c>
      <c r="F227" s="13">
        <f>IF(OR(C227="",B227=""),"",C227-B227)</f>
        <v/>
      </c>
      <c r="G227" s="13">
        <f>IF(OR(D227="",B227=""),"",D227-B227)</f>
        <v/>
      </c>
      <c r="H227" s="2" t="inlineStr"/>
    </row>
    <row r="228">
      <c r="A228" s="7" t="n">
        <v>7</v>
      </c>
      <c r="B228" s="13" t="n">
        <v>1.518374</v>
      </c>
      <c r="C228" s="13" t="n">
        <v>1.325041</v>
      </c>
      <c r="D228" s="13" t="n">
        <v>1.322898</v>
      </c>
      <c r="E228" s="7">
        <f>IF(COUNT(B228:D228)=0,"",INDEX($B$221:$D$221,MATCH(MIN(B228:D228),B228:D228,0)))</f>
        <v/>
      </c>
      <c r="F228" s="13">
        <f>IF(OR(C228="",B228=""),"",C228-B228)</f>
        <v/>
      </c>
      <c r="G228" s="13">
        <f>IF(OR(D228="",B228=""),"",D228-B228)</f>
        <v/>
      </c>
      <c r="H228" s="2" t="inlineStr"/>
    </row>
    <row r="229">
      <c r="A229" s="7" t="n">
        <v>8</v>
      </c>
      <c r="B229" s="13" t="n">
        <v>1.635165</v>
      </c>
      <c r="C229" s="13" t="n">
        <v>1.270678</v>
      </c>
      <c r="D229" s="13" t="n">
        <v>1.522061</v>
      </c>
      <c r="E229" s="7">
        <f>IF(COUNT(B229:D229)=0,"",INDEX($B$221:$D$221,MATCH(MIN(B229:D229),B229:D229,0)))</f>
        <v/>
      </c>
      <c r="F229" s="13">
        <f>IF(OR(C229="",B229=""),"",C229-B229)</f>
        <v/>
      </c>
      <c r="G229" s="13">
        <f>IF(OR(D229="",B229=""),"",D229-B229)</f>
        <v/>
      </c>
      <c r="H229" s="2" t="inlineStr"/>
    </row>
    <row r="230">
      <c r="A230" s="7" t="n">
        <v>9</v>
      </c>
      <c r="B230" s="13" t="n">
        <v>1.402492</v>
      </c>
      <c r="C230" s="13" t="n">
        <v>1.442755</v>
      </c>
      <c r="D230" s="13" t="n">
        <v>1.302305</v>
      </c>
      <c r="E230" s="7">
        <f>IF(COUNT(B230:D230)=0,"",INDEX($B$221:$D$221,MATCH(MIN(B230:D230),B230:D230,0)))</f>
        <v/>
      </c>
      <c r="F230" s="13">
        <f>IF(OR(C230="",B230=""),"",C230-B230)</f>
        <v/>
      </c>
      <c r="G230" s="13">
        <f>IF(OR(D230="",B230=""),"",D230-B230)</f>
        <v/>
      </c>
      <c r="H230" s="2" t="inlineStr"/>
    </row>
    <row r="231">
      <c r="A231" s="7" t="n">
        <v>10</v>
      </c>
      <c r="B231" s="13" t="n">
        <v>1.509576</v>
      </c>
      <c r="C231" s="13" t="n">
        <v>1.431813</v>
      </c>
      <c r="D231" s="13" t="n">
        <v>1.229351</v>
      </c>
      <c r="E231" s="7">
        <f>IF(COUNT(B231:D231)=0,"",INDEX($B$221:$D$221,MATCH(MIN(B231:D231),B231:D231,0)))</f>
        <v/>
      </c>
      <c r="F231" s="13">
        <f>IF(OR(C231="",B231=""),"",C231-B231)</f>
        <v/>
      </c>
      <c r="G231" s="13">
        <f>IF(OR(D231="",B231=""),"",D231-B231)</f>
        <v/>
      </c>
      <c r="H231" s="2" t="inlineStr"/>
    </row>
    <row r="232">
      <c r="A232" s="20" t="inlineStr">
        <is>
          <t>n</t>
        </is>
      </c>
      <c r="B232" s="21">
        <f>COUNT(B222:B231)</f>
        <v/>
      </c>
      <c r="C232" s="21">
        <f>COUNT(C222:C231)</f>
        <v/>
      </c>
      <c r="D232" s="21">
        <f>COUNT(D222:D231)</f>
        <v/>
      </c>
      <c r="E232" s="2" t="n"/>
      <c r="F232" s="21">
        <f>COUNT(F222:F231)</f>
        <v/>
      </c>
      <c r="G232" s="21">
        <f>COUNT(G222:G231)</f>
        <v/>
      </c>
      <c r="H232" s="2" t="n"/>
    </row>
    <row r="233">
      <c r="A233" s="20" t="inlineStr">
        <is>
          <t>Mittelwert</t>
        </is>
      </c>
      <c r="B233" s="26">
        <f>IF(B232=0,"",AVERAGE(B222:B231))</f>
        <v/>
      </c>
      <c r="C233" s="26">
        <f>IF(C232=0,"",AVERAGE(C222:C231))</f>
        <v/>
      </c>
      <c r="D233" s="26">
        <f>IF(D232=0,"",AVERAGE(D222:D231))</f>
        <v/>
      </c>
      <c r="E233" s="2" t="n"/>
      <c r="F233" s="26">
        <f>IF(F232=0,"",AVERAGE(F222:F231))</f>
        <v/>
      </c>
      <c r="G233" s="26">
        <f>IF(G232=0,"",AVERAGE(G222:G231))</f>
        <v/>
      </c>
      <c r="H233" s="2" t="n"/>
    </row>
    <row r="234">
      <c r="A234" s="20" t="inlineStr">
        <is>
          <t>Standardabweichung</t>
        </is>
      </c>
      <c r="B234" s="26">
        <f>IF(B232&lt;2,"",STDEV(B222:B231))</f>
        <v/>
      </c>
      <c r="C234" s="26">
        <f>IF(C232&lt;2,"",STDEV(C222:C231))</f>
        <v/>
      </c>
      <c r="D234" s="26">
        <f>IF(D232&lt;2,"",STDEV(D222:D231))</f>
        <v/>
      </c>
      <c r="E234" s="2" t="n"/>
      <c r="F234" s="26">
        <f>IF(F232&lt;2,"",STDEV(F222:F231))</f>
        <v/>
      </c>
      <c r="G234" s="26">
        <f>IF(G232&lt;2,"",STDEV(G222:G231))</f>
        <v/>
      </c>
      <c r="H234" s="2" t="n"/>
    </row>
    <row r="235">
      <c r="A235" s="20" t="inlineStr">
        <is>
          <t>Varianz</t>
        </is>
      </c>
      <c r="B235" s="27">
        <f>IF(B232&lt;2,"",VAR(B222:B231))</f>
        <v/>
      </c>
      <c r="C235" s="27">
        <f>IF(C232&lt;2,"",VAR(C222:C231))</f>
        <v/>
      </c>
      <c r="D235" s="27">
        <f>IF(D232&lt;2,"",VAR(D222:D231))</f>
        <v/>
      </c>
      <c r="E235" s="2" t="n"/>
      <c r="F235" s="27">
        <f>IF(F232&lt;2,"",VAR(F222:F231))</f>
        <v/>
      </c>
      <c r="G235" s="27">
        <f>IF(G232&lt;2,"",VAR(G222:G231))</f>
        <v/>
      </c>
      <c r="H235" s="2" t="n"/>
    </row>
    <row r="236">
      <c r="A236" s="20" t="inlineStr">
        <is>
          <t>Spannweite</t>
        </is>
      </c>
      <c r="B236" s="26">
        <f>IF(B232=0,"",MAX(B222:B231)-MIN(B222:B231))</f>
        <v/>
      </c>
      <c r="C236" s="26">
        <f>IF(C232=0,"",MAX(C222:C231)-MIN(C222:C231))</f>
        <v/>
      </c>
      <c r="D236" s="26">
        <f>IF(D232=0,"",MAX(D222:D231)-MIN(D222:D231))</f>
        <v/>
      </c>
      <c r="E236" s="2" t="n"/>
      <c r="F236" s="26">
        <f>IF(F232=0,"",MAX(F222:F231)-MIN(F222:F231))</f>
        <v/>
      </c>
      <c r="G236" s="26">
        <f>IF(G232=0,"",MAX(G222:G231)-MIN(G222:G231))</f>
        <v/>
      </c>
      <c r="H236" s="2" t="n"/>
    </row>
    <row r="237">
      <c r="A237" s="20" t="inlineStr">
        <is>
          <t>95-%-KI ±</t>
        </is>
      </c>
      <c r="B237" s="26">
        <f>IF(B232&lt;2,"",TINV(0.05,B232-1)*B234/SQRT(B232))</f>
        <v/>
      </c>
      <c r="C237" s="26">
        <f>IF(C232&lt;2,"",TINV(0.05,C232-1)*C234/SQRT(C232))</f>
        <v/>
      </c>
      <c r="D237" s="26">
        <f>IF(D232&lt;2,"",TINV(0.05,D232-1)*D234/SQRT(D232))</f>
        <v/>
      </c>
      <c r="E237" s="2" t="n"/>
      <c r="F237" s="26">
        <f>IF(F232&lt;2,"",TINV(0.05,F232-1)*F234/SQRT(F232))</f>
        <v/>
      </c>
      <c r="G237" s="26">
        <f>IF(G232&lt;2,"",TINV(0.05,G232-1)*G234/SQRT(G232))</f>
        <v/>
      </c>
      <c r="H237" s="2" t="n"/>
    </row>
    <row r="238">
      <c r="A238" s="20" t="inlineStr">
        <is>
          <t>KI unten</t>
        </is>
      </c>
      <c r="B238" s="26">
        <f>IF(B232&lt;2,"",B233-B237)</f>
        <v/>
      </c>
      <c r="C238" s="26">
        <f>IF(C232&lt;2,"",C233-C237)</f>
        <v/>
      </c>
      <c r="D238" s="26">
        <f>IF(D232&lt;2,"",D233-D237)</f>
        <v/>
      </c>
      <c r="E238" s="2" t="n"/>
      <c r="F238" s="26">
        <f>IF(F232&lt;2,"",F233-F237)</f>
        <v/>
      </c>
      <c r="G238" s="26">
        <f>IF(G232&lt;2,"",G233-G237)</f>
        <v/>
      </c>
      <c r="H238" s="2" t="n"/>
    </row>
    <row r="239">
      <c r="A239" s="20" t="inlineStr">
        <is>
          <t>KI oben</t>
        </is>
      </c>
      <c r="B239" s="26">
        <f>IF(B232&lt;2,"",B233+B237)</f>
        <v/>
      </c>
      <c r="C239" s="26">
        <f>IF(C232&lt;2,"",C233+C237)</f>
        <v/>
      </c>
      <c r="D239" s="26">
        <f>IF(D232&lt;2,"",D233+D237)</f>
        <v/>
      </c>
      <c r="E239" s="2" t="n"/>
      <c r="F239" s="26">
        <f>IF(F232&lt;2,"",F233+F237)</f>
        <v/>
      </c>
      <c r="G239" s="26">
        <f>IF(G232&lt;2,"",G233+G237)</f>
        <v/>
      </c>
      <c r="H239" s="2" t="n"/>
    </row>
    <row r="240">
      <c r="A240" s="20" t="inlineStr">
        <is>
          <t>Median</t>
        </is>
      </c>
      <c r="B240" s="26">
        <f>IF(B232=0,"",MEDIAN(B222:B231))</f>
        <v/>
      </c>
      <c r="C240" s="26">
        <f>IF(C232=0,"",MEDIAN(C222:C231))</f>
        <v/>
      </c>
      <c r="D240" s="26">
        <f>IF(D232=0,"",MEDIAN(D222:D231))</f>
        <v/>
      </c>
      <c r="E240" s="2" t="n"/>
      <c r="F240" s="26">
        <f>IF(F232=0,"",MEDIAN(F222:F231))</f>
        <v/>
      </c>
      <c r="G240" s="26">
        <f>IF(G232=0,"",MEDIAN(G222:G231))</f>
        <v/>
      </c>
      <c r="H240" s="2" t="n"/>
    </row>
    <row r="241">
      <c r="A241" s="20" t="inlineStr">
        <is>
          <t>Minimum</t>
        </is>
      </c>
      <c r="B241" s="26">
        <f>IF(B232=0,"",MIN(B222:B231))</f>
        <v/>
      </c>
      <c r="C241" s="26">
        <f>IF(C232=0,"",MIN(C222:C231))</f>
        <v/>
      </c>
      <c r="D241" s="26">
        <f>IF(D232=0,"",MIN(D222:D231))</f>
        <v/>
      </c>
      <c r="E241" s="2" t="n"/>
      <c r="F241" s="26">
        <f>IF(F232=0,"",MIN(F222:F231))</f>
        <v/>
      </c>
      <c r="G241" s="26">
        <f>IF(G232=0,"",MIN(G222:G231))</f>
        <v/>
      </c>
      <c r="H241" s="2" t="n"/>
    </row>
    <row r="242">
      <c r="A242" s="20" t="inlineStr">
        <is>
          <t>Maximum</t>
        </is>
      </c>
      <c r="B242" s="26">
        <f>IF(B232=0,"",MAX(B222:B231))</f>
        <v/>
      </c>
      <c r="C242" s="26">
        <f>IF(C232=0,"",MAX(C222:C231))</f>
        <v/>
      </c>
      <c r="D242" s="26">
        <f>IF(D232=0,"",MAX(D222:D231))</f>
        <v/>
      </c>
      <c r="E242" s="2" t="n"/>
      <c r="F242" s="26">
        <f>IF(F232=0,"",MAX(F222:F231))</f>
        <v/>
      </c>
      <c r="G242" s="26">
        <f>IF(G232=0,"",MAX(G222:G231))</f>
        <v/>
      </c>
      <c r="H242" s="2" t="n"/>
    </row>
    <row r="243">
      <c r="A243" s="20" t="inlineStr">
        <is>
          <t>CV zw. Zyklen [%]</t>
        </is>
      </c>
      <c r="B243" s="24">
        <f>IF(OR(B232&lt;2,B233=0),"",B234/ABS(B233)*100)</f>
        <v/>
      </c>
      <c r="C243" s="24">
        <f>IF(OR(C232&lt;2,C233=0),"",C234/ABS(C233)*100)</f>
        <v/>
      </c>
      <c r="D243" s="24">
        <f>IF(OR(D232&lt;2,D233=0),"",D234/ABS(D233)*100)</f>
        <v/>
      </c>
      <c r="E243" s="2" t="n"/>
      <c r="F243" s="2" t="n"/>
      <c r="G243" s="2" t="n"/>
      <c r="H243" s="2" t="n"/>
    </row>
    <row r="244">
      <c r="A244" s="20" t="inlineStr">
        <is>
          <t>Zyklen mit kleinstem Wert</t>
        </is>
      </c>
      <c r="B244" s="21">
        <f>COUNTIF($E$222:$E$231,B$221)</f>
        <v/>
      </c>
      <c r="C244" s="21">
        <f>COUNTIF($E$222:$E$231,C$221)</f>
        <v/>
      </c>
      <c r="D244" s="21">
        <f>COUNTIF($E$222:$E$231,D$221)</f>
        <v/>
      </c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15" t="inlineStr">
        <is>
          <t>Lastspitze [W]</t>
        </is>
      </c>
      <c r="B247" s="2" t="n"/>
      <c r="C247" s="2" t="n"/>
      <c r="D247" s="2" t="n"/>
      <c r="E247" s="2" t="n"/>
      <c r="F247" s="2" t="n"/>
      <c r="G247" s="2" t="n"/>
      <c r="H247" s="2" t="n"/>
    </row>
    <row r="248">
      <c r="A248" s="3" t="inlineStr">
        <is>
          <t>Zyklus</t>
        </is>
      </c>
      <c r="B248" s="3" t="inlineStr">
        <is>
          <t>ALT (31.0.101.2115)</t>
        </is>
      </c>
      <c r="C248" s="3" t="inlineStr">
        <is>
          <t>MITTEL (31.0.101.2135)</t>
        </is>
      </c>
      <c r="D248" s="3" t="inlineStr">
        <is>
          <t>NEU (31.0.101.2141)</t>
        </is>
      </c>
      <c r="E248" s="3" t="inlineStr">
        <is>
          <t>Kleinster Wert</t>
        </is>
      </c>
      <c r="F248" s="3" t="inlineStr">
        <is>
          <t>MITTEL (31.0.101.2135) − ALT (31.0.101.2115)</t>
        </is>
      </c>
      <c r="G248" s="3" t="inlineStr">
        <is>
          <t>NEU (31.0.101.2141) − ALT (31.0.101.2115)</t>
        </is>
      </c>
      <c r="H248" s="3" t="inlineStr">
        <is>
          <t>Hinweis</t>
        </is>
      </c>
    </row>
    <row r="249">
      <c r="A249" s="7" t="n">
        <v>1</v>
      </c>
      <c r="B249" s="10" t="n">
        <v>56.2596</v>
      </c>
      <c r="C249" s="10" t="n">
        <v>63.65184</v>
      </c>
      <c r="D249" s="10" t="n">
        <v>62.816424</v>
      </c>
      <c r="E249" s="7">
        <f>IF(COUNT(B249:D249)=0,"",INDEX($B$248:$D$248,MATCH(MIN(B249:D249),B249:D249,0)))</f>
        <v/>
      </c>
      <c r="F249" s="10">
        <f>IF(OR(C249="",B249=""),"",C249-B249)</f>
        <v/>
      </c>
      <c r="G249" s="10">
        <f>IF(OR(D249="",B249=""),"",D249-B249)</f>
        <v/>
      </c>
      <c r="H249" s="2" t="inlineStr"/>
    </row>
    <row r="250">
      <c r="A250" s="7" t="n">
        <v>2</v>
      </c>
      <c r="B250" s="10" t="n">
        <v>62.0136</v>
      </c>
      <c r="C250" s="10" t="n">
        <v>57.67152</v>
      </c>
      <c r="D250" s="10" t="n">
        <v>63.8616</v>
      </c>
      <c r="E250" s="7">
        <f>IF(COUNT(B250:D250)=0,"",INDEX($B$248:$D$248,MATCH(MIN(B250:D250),B250:D250,0)))</f>
        <v/>
      </c>
      <c r="F250" s="10">
        <f>IF(OR(C250="",B250=""),"",C250-B250)</f>
        <v/>
      </c>
      <c r="G250" s="10">
        <f>IF(OR(D250="",B250=""),"",D250-B250)</f>
        <v/>
      </c>
      <c r="H250" s="2" t="inlineStr"/>
    </row>
    <row r="251">
      <c r="A251" s="7" t="n">
        <v>3</v>
      </c>
      <c r="B251" s="10" t="n">
        <v>56.964688</v>
      </c>
      <c r="C251" s="10" t="n">
        <v>61.944</v>
      </c>
      <c r="D251" s="10" t="n">
        <v>61.15824</v>
      </c>
      <c r="E251" s="7">
        <f>IF(COUNT(B251:D251)=0,"",INDEX($B$248:$D$248,MATCH(MIN(B251:D251),B251:D251,0)))</f>
        <v/>
      </c>
      <c r="F251" s="10">
        <f>IF(OR(C251="",B251=""),"",C251-B251)</f>
        <v/>
      </c>
      <c r="G251" s="10">
        <f>IF(OR(D251="",B251=""),"",D251-B251)</f>
        <v/>
      </c>
      <c r="H251" s="2" t="inlineStr"/>
    </row>
    <row r="252">
      <c r="A252" s="7" t="n">
        <v>4</v>
      </c>
      <c r="B252" s="10" t="n">
        <v>57.7918</v>
      </c>
      <c r="C252" s="10" t="n">
        <v>55.62144</v>
      </c>
      <c r="D252" s="10" t="n">
        <v>62.916183</v>
      </c>
      <c r="E252" s="7">
        <f>IF(COUNT(B252:D252)=0,"",INDEX($B$248:$D$248,MATCH(MIN(B252:D252),B252:D252,0)))</f>
        <v/>
      </c>
      <c r="F252" s="10">
        <f>IF(OR(C252="",B252=""),"",C252-B252)</f>
        <v/>
      </c>
      <c r="G252" s="10">
        <f>IF(OR(D252="",B252=""),"",D252-B252)</f>
        <v/>
      </c>
      <c r="H252" s="2" t="inlineStr"/>
    </row>
    <row r="253">
      <c r="A253" s="7" t="n">
        <v>5</v>
      </c>
      <c r="B253" s="10" t="n">
        <v>57.31584</v>
      </c>
      <c r="C253" s="10" t="n">
        <v>55.56672</v>
      </c>
      <c r="D253" s="10" t="n">
        <v>57.39415</v>
      </c>
      <c r="E253" s="7">
        <f>IF(COUNT(B253:D253)=0,"",INDEX($B$248:$D$248,MATCH(MIN(B253:D253),B253:D253,0)))</f>
        <v/>
      </c>
      <c r="F253" s="10">
        <f>IF(OR(C253="",B253=""),"",C253-B253)</f>
        <v/>
      </c>
      <c r="G253" s="10">
        <f>IF(OR(D253="",B253=""),"",D253-B253)</f>
        <v/>
      </c>
      <c r="H253" s="2" t="inlineStr"/>
    </row>
    <row r="254">
      <c r="A254" s="7" t="n">
        <v>6</v>
      </c>
      <c r="B254" s="10" t="n">
        <v>56.8944</v>
      </c>
      <c r="C254" s="10" t="n">
        <v>60.99228</v>
      </c>
      <c r="D254" s="10" t="n">
        <v>59.43</v>
      </c>
      <c r="E254" s="7">
        <f>IF(COUNT(B254:D254)=0,"",INDEX($B$248:$D$248,MATCH(MIN(B254:D254),B254:D254,0)))</f>
        <v/>
      </c>
      <c r="F254" s="10">
        <f>IF(OR(C254="",B254=""),"",C254-B254)</f>
        <v/>
      </c>
      <c r="G254" s="10">
        <f>IF(OR(D254="",B254=""),"",D254-B254)</f>
        <v/>
      </c>
      <c r="H254" s="2" t="inlineStr"/>
    </row>
    <row r="255">
      <c r="A255" s="7" t="n">
        <v>7</v>
      </c>
      <c r="B255" s="10" t="n">
        <v>55.997796</v>
      </c>
      <c r="C255" s="10" t="n">
        <v>55.724502</v>
      </c>
      <c r="D255" s="10" t="n">
        <v>55.332</v>
      </c>
      <c r="E255" s="7">
        <f>IF(COUNT(B255:D255)=0,"",INDEX($B$248:$D$248,MATCH(MIN(B255:D255),B255:D255,0)))</f>
        <v/>
      </c>
      <c r="F255" s="10">
        <f>IF(OR(C255="",B255=""),"",C255-B255)</f>
        <v/>
      </c>
      <c r="G255" s="10">
        <f>IF(OR(D255="",B255=""),"",D255-B255)</f>
        <v/>
      </c>
      <c r="H255" s="2" t="inlineStr"/>
    </row>
    <row r="256">
      <c r="A256" s="7" t="n">
        <v>8</v>
      </c>
      <c r="B256" s="10" t="n">
        <v>56.59776</v>
      </c>
      <c r="C256" s="10" t="n">
        <v>55.243225</v>
      </c>
      <c r="D256" s="10" t="n">
        <v>57.72312</v>
      </c>
      <c r="E256" s="7">
        <f>IF(COUNT(B256:D256)=0,"",INDEX($B$248:$D$248,MATCH(MIN(B256:D256),B256:D256,0)))</f>
        <v/>
      </c>
      <c r="F256" s="10">
        <f>IF(OR(C256="",B256=""),"",C256-B256)</f>
        <v/>
      </c>
      <c r="G256" s="10">
        <f>IF(OR(D256="",B256=""),"",D256-B256)</f>
        <v/>
      </c>
      <c r="H256" s="2" t="inlineStr"/>
    </row>
    <row r="257">
      <c r="A257" s="7" t="n">
        <v>9</v>
      </c>
      <c r="B257" s="10" t="n">
        <v>56.15136</v>
      </c>
      <c r="C257" s="10" t="n">
        <v>55.947427</v>
      </c>
      <c r="D257" s="10" t="n">
        <v>56.06448</v>
      </c>
      <c r="E257" s="7">
        <f>IF(COUNT(B257:D257)=0,"",INDEX($B$248:$D$248,MATCH(MIN(B257:D257),B257:D257,0)))</f>
        <v/>
      </c>
      <c r="F257" s="10">
        <f>IF(OR(C257="",B257=""),"",C257-B257)</f>
        <v/>
      </c>
      <c r="G257" s="10">
        <f>IF(OR(D257="",B257=""),"",D257-B257)</f>
        <v/>
      </c>
      <c r="H257" s="2" t="inlineStr"/>
    </row>
    <row r="258">
      <c r="A258" s="7" t="n">
        <v>10</v>
      </c>
      <c r="B258" s="10" t="n">
        <v>56.8296</v>
      </c>
      <c r="C258" s="10" t="n">
        <v>57.19896</v>
      </c>
      <c r="D258" s="10" t="n">
        <v>55.933208</v>
      </c>
      <c r="E258" s="7">
        <f>IF(COUNT(B258:D258)=0,"",INDEX($B$248:$D$248,MATCH(MIN(B258:D258),B258:D258,0)))</f>
        <v/>
      </c>
      <c r="F258" s="10">
        <f>IF(OR(C258="",B258=""),"",C258-B258)</f>
        <v/>
      </c>
      <c r="G258" s="10">
        <f>IF(OR(D258="",B258=""),"",D258-B258)</f>
        <v/>
      </c>
      <c r="H258" s="2" t="inlineStr"/>
    </row>
    <row r="259">
      <c r="A259" s="20" t="inlineStr">
        <is>
          <t>n</t>
        </is>
      </c>
      <c r="B259" s="21">
        <f>COUNT(B249:B258)</f>
        <v/>
      </c>
      <c r="C259" s="21">
        <f>COUNT(C249:C258)</f>
        <v/>
      </c>
      <c r="D259" s="21">
        <f>COUNT(D249:D258)</f>
        <v/>
      </c>
      <c r="E259" s="2" t="n"/>
      <c r="F259" s="21">
        <f>COUNT(F249:F258)</f>
        <v/>
      </c>
      <c r="G259" s="21">
        <f>COUNT(G249:G258)</f>
        <v/>
      </c>
      <c r="H259" s="2" t="n"/>
    </row>
    <row r="260">
      <c r="A260" s="20" t="inlineStr">
        <is>
          <t>Mittelwert</t>
        </is>
      </c>
      <c r="B260" s="24">
        <f>IF(B259=0,"",AVERAGE(B249:B258))</f>
        <v/>
      </c>
      <c r="C260" s="24">
        <f>IF(C259=0,"",AVERAGE(C249:C258))</f>
        <v/>
      </c>
      <c r="D260" s="24">
        <f>IF(D259=0,"",AVERAGE(D249:D258))</f>
        <v/>
      </c>
      <c r="E260" s="2" t="n"/>
      <c r="F260" s="24">
        <f>IF(F259=0,"",AVERAGE(F249:F258))</f>
        <v/>
      </c>
      <c r="G260" s="24">
        <f>IF(G259=0,"",AVERAGE(G249:G258))</f>
        <v/>
      </c>
      <c r="H260" s="2" t="n"/>
    </row>
    <row r="261">
      <c r="A261" s="20" t="inlineStr">
        <is>
          <t>Standardabweichung</t>
        </is>
      </c>
      <c r="B261" s="24">
        <f>IF(B259&lt;2,"",STDEV(B249:B258))</f>
        <v/>
      </c>
      <c r="C261" s="24">
        <f>IF(C259&lt;2,"",STDEV(C249:C258))</f>
        <v/>
      </c>
      <c r="D261" s="24">
        <f>IF(D259&lt;2,"",STDEV(D249:D258))</f>
        <v/>
      </c>
      <c r="E261" s="2" t="n"/>
      <c r="F261" s="24">
        <f>IF(F259&lt;2,"",STDEV(F249:F258))</f>
        <v/>
      </c>
      <c r="G261" s="24">
        <f>IF(G259&lt;2,"",STDEV(G249:G258))</f>
        <v/>
      </c>
      <c r="H261" s="2" t="n"/>
    </row>
    <row r="262">
      <c r="A262" s="20" t="inlineStr">
        <is>
          <t>Varianz</t>
        </is>
      </c>
      <c r="B262" s="26">
        <f>IF(B259&lt;2,"",VAR(B249:B258))</f>
        <v/>
      </c>
      <c r="C262" s="26">
        <f>IF(C259&lt;2,"",VAR(C249:C258))</f>
        <v/>
      </c>
      <c r="D262" s="26">
        <f>IF(D259&lt;2,"",VAR(D249:D258))</f>
        <v/>
      </c>
      <c r="E262" s="2" t="n"/>
      <c r="F262" s="26">
        <f>IF(F259&lt;2,"",VAR(F249:F258))</f>
        <v/>
      </c>
      <c r="G262" s="26">
        <f>IF(G259&lt;2,"",VAR(G249:G258))</f>
        <v/>
      </c>
      <c r="H262" s="2" t="n"/>
    </row>
    <row r="263">
      <c r="A263" s="20" t="inlineStr">
        <is>
          <t>Spannweite</t>
        </is>
      </c>
      <c r="B263" s="24">
        <f>IF(B259=0,"",MAX(B249:B258)-MIN(B249:B258))</f>
        <v/>
      </c>
      <c r="C263" s="24">
        <f>IF(C259=0,"",MAX(C249:C258)-MIN(C249:C258))</f>
        <v/>
      </c>
      <c r="D263" s="24">
        <f>IF(D259=0,"",MAX(D249:D258)-MIN(D249:D258))</f>
        <v/>
      </c>
      <c r="E263" s="2" t="n"/>
      <c r="F263" s="24">
        <f>IF(F259=0,"",MAX(F249:F258)-MIN(F249:F258))</f>
        <v/>
      </c>
      <c r="G263" s="24">
        <f>IF(G259=0,"",MAX(G249:G258)-MIN(G249:G258))</f>
        <v/>
      </c>
      <c r="H263" s="2" t="n"/>
    </row>
    <row r="264">
      <c r="A264" s="20" t="inlineStr">
        <is>
          <t>95-%-KI ±</t>
        </is>
      </c>
      <c r="B264" s="24">
        <f>IF(B259&lt;2,"",TINV(0.05,B259-1)*B261/SQRT(B259))</f>
        <v/>
      </c>
      <c r="C264" s="24">
        <f>IF(C259&lt;2,"",TINV(0.05,C259-1)*C261/SQRT(C259))</f>
        <v/>
      </c>
      <c r="D264" s="24">
        <f>IF(D259&lt;2,"",TINV(0.05,D259-1)*D261/SQRT(D259))</f>
        <v/>
      </c>
      <c r="E264" s="2" t="n"/>
      <c r="F264" s="24">
        <f>IF(F259&lt;2,"",TINV(0.05,F259-1)*F261/SQRT(F259))</f>
        <v/>
      </c>
      <c r="G264" s="24">
        <f>IF(G259&lt;2,"",TINV(0.05,G259-1)*G261/SQRT(G259))</f>
        <v/>
      </c>
      <c r="H264" s="2" t="n"/>
    </row>
    <row r="265">
      <c r="A265" s="20" t="inlineStr">
        <is>
          <t>KI unten</t>
        </is>
      </c>
      <c r="B265" s="24">
        <f>IF(B259&lt;2,"",B260-B264)</f>
        <v/>
      </c>
      <c r="C265" s="24">
        <f>IF(C259&lt;2,"",C260-C264)</f>
        <v/>
      </c>
      <c r="D265" s="24">
        <f>IF(D259&lt;2,"",D260-D264)</f>
        <v/>
      </c>
      <c r="E265" s="2" t="n"/>
      <c r="F265" s="24">
        <f>IF(F259&lt;2,"",F260-F264)</f>
        <v/>
      </c>
      <c r="G265" s="24">
        <f>IF(G259&lt;2,"",G260-G264)</f>
        <v/>
      </c>
      <c r="H265" s="2" t="n"/>
    </row>
    <row r="266">
      <c r="A266" s="20" t="inlineStr">
        <is>
          <t>KI oben</t>
        </is>
      </c>
      <c r="B266" s="24">
        <f>IF(B259&lt;2,"",B260+B264)</f>
        <v/>
      </c>
      <c r="C266" s="24">
        <f>IF(C259&lt;2,"",C260+C264)</f>
        <v/>
      </c>
      <c r="D266" s="24">
        <f>IF(D259&lt;2,"",D260+D264)</f>
        <v/>
      </c>
      <c r="E266" s="2" t="n"/>
      <c r="F266" s="24">
        <f>IF(F259&lt;2,"",F260+F264)</f>
        <v/>
      </c>
      <c r="G266" s="24">
        <f>IF(G259&lt;2,"",G260+G264)</f>
        <v/>
      </c>
      <c r="H266" s="2" t="n"/>
    </row>
    <row r="267">
      <c r="A267" s="20" t="inlineStr">
        <is>
          <t>Median</t>
        </is>
      </c>
      <c r="B267" s="24">
        <f>IF(B259=0,"",MEDIAN(B249:B258))</f>
        <v/>
      </c>
      <c r="C267" s="24">
        <f>IF(C259=0,"",MEDIAN(C249:C258))</f>
        <v/>
      </c>
      <c r="D267" s="24">
        <f>IF(D259=0,"",MEDIAN(D249:D258))</f>
        <v/>
      </c>
      <c r="E267" s="2" t="n"/>
      <c r="F267" s="24">
        <f>IF(F259=0,"",MEDIAN(F249:F258))</f>
        <v/>
      </c>
      <c r="G267" s="24">
        <f>IF(G259=0,"",MEDIAN(G249:G258))</f>
        <v/>
      </c>
      <c r="H267" s="2" t="n"/>
    </row>
    <row r="268">
      <c r="A268" s="20" t="inlineStr">
        <is>
          <t>Minimum</t>
        </is>
      </c>
      <c r="B268" s="24">
        <f>IF(B259=0,"",MIN(B249:B258))</f>
        <v/>
      </c>
      <c r="C268" s="24">
        <f>IF(C259=0,"",MIN(C249:C258))</f>
        <v/>
      </c>
      <c r="D268" s="24">
        <f>IF(D259=0,"",MIN(D249:D258))</f>
        <v/>
      </c>
      <c r="E268" s="2" t="n"/>
      <c r="F268" s="24">
        <f>IF(F259=0,"",MIN(F249:F258))</f>
        <v/>
      </c>
      <c r="G268" s="24">
        <f>IF(G259=0,"",MIN(G249:G258))</f>
        <v/>
      </c>
      <c r="H268" s="2" t="n"/>
    </row>
    <row r="269">
      <c r="A269" s="20" t="inlineStr">
        <is>
          <t>Maximum</t>
        </is>
      </c>
      <c r="B269" s="24">
        <f>IF(B259=0,"",MAX(B249:B258))</f>
        <v/>
      </c>
      <c r="C269" s="24">
        <f>IF(C259=0,"",MAX(C249:C258))</f>
        <v/>
      </c>
      <c r="D269" s="24">
        <f>IF(D259=0,"",MAX(D249:D258))</f>
        <v/>
      </c>
      <c r="E269" s="2" t="n"/>
      <c r="F269" s="24">
        <f>IF(F259=0,"",MAX(F249:F258))</f>
        <v/>
      </c>
      <c r="G269" s="24">
        <f>IF(G259=0,"",MAX(G249:G258))</f>
        <v/>
      </c>
      <c r="H269" s="2" t="n"/>
    </row>
    <row r="270">
      <c r="A270" s="20" t="inlineStr">
        <is>
          <t>CV zw. Zyklen [%]</t>
        </is>
      </c>
      <c r="B270" s="24">
        <f>IF(OR(B259&lt;2,B260=0),"",B261/ABS(B260)*100)</f>
        <v/>
      </c>
      <c r="C270" s="24">
        <f>IF(OR(C259&lt;2,C260=0),"",C261/ABS(C260)*100)</f>
        <v/>
      </c>
      <c r="D270" s="24">
        <f>IF(OR(D259&lt;2,D260=0),"",D261/ABS(D260)*100)</f>
        <v/>
      </c>
      <c r="E270" s="2" t="n"/>
      <c r="F270" s="2" t="n"/>
      <c r="G270" s="2" t="n"/>
      <c r="H270" s="2" t="n"/>
    </row>
    <row r="271">
      <c r="A271" s="20" t="inlineStr">
        <is>
          <t>Zyklen mit kleinstem Wert</t>
        </is>
      </c>
      <c r="B271" s="21">
        <f>COUNTIF($E$249:$E$258,B$248)</f>
        <v/>
      </c>
      <c r="C271" s="21">
        <f>COUNTIF($E$249:$E$258,C$248)</f>
        <v/>
      </c>
      <c r="D271" s="21">
        <f>COUNTIF($E$249:$E$258,D$248)</f>
        <v/>
      </c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15" t="inlineStr">
        <is>
          <t>Einschwingspitze [W]</t>
        </is>
      </c>
      <c r="B274" s="2" t="n"/>
      <c r="C274" s="2" t="n"/>
      <c r="D274" s="2" t="n"/>
      <c r="E274" s="2" t="n"/>
      <c r="F274" s="2" t="n"/>
      <c r="G274" s="2" t="n"/>
      <c r="H274" s="2" t="n"/>
    </row>
    <row r="275">
      <c r="A275" s="3" t="inlineStr">
        <is>
          <t>Zyklus</t>
        </is>
      </c>
      <c r="B275" s="3" t="inlineStr">
        <is>
          <t>ALT (31.0.101.2115)</t>
        </is>
      </c>
      <c r="C275" s="3" t="inlineStr">
        <is>
          <t>MITTEL (31.0.101.2135)</t>
        </is>
      </c>
      <c r="D275" s="3" t="inlineStr">
        <is>
          <t>NEU (31.0.101.2141)</t>
        </is>
      </c>
      <c r="E275" s="3" t="inlineStr">
        <is>
          <t>Kleinster Wert</t>
        </is>
      </c>
      <c r="F275" s="3" t="inlineStr">
        <is>
          <t>MITTEL (31.0.101.2135) − ALT (31.0.101.2115)</t>
        </is>
      </c>
      <c r="G275" s="3" t="inlineStr">
        <is>
          <t>NEU (31.0.101.2141) − ALT (31.0.101.2115)</t>
        </is>
      </c>
      <c r="H275" s="3" t="inlineStr">
        <is>
          <t>Hinweis</t>
        </is>
      </c>
    </row>
    <row r="276">
      <c r="A276" s="7" t="n">
        <v>1</v>
      </c>
      <c r="B276" s="10" t="n">
        <v>54.26973</v>
      </c>
      <c r="C276" s="10" t="n">
        <v>51.52896</v>
      </c>
      <c r="D276" s="10" t="n">
        <v>52.629192</v>
      </c>
      <c r="E276" s="7">
        <f>IF(COUNT(B276:D276)=0,"",INDEX($B$275:$D$275,MATCH(MIN(B276:D276),B276:D276,0)))</f>
        <v/>
      </c>
      <c r="F276" s="10">
        <f>IF(OR(C276="",B276=""),"",C276-B276)</f>
        <v/>
      </c>
      <c r="G276" s="10">
        <f>IF(OR(D276="",B276=""),"",D276-B276)</f>
        <v/>
      </c>
      <c r="H276" s="2" t="inlineStr"/>
    </row>
    <row r="277">
      <c r="A277" s="7" t="n">
        <v>2</v>
      </c>
      <c r="B277" s="10" t="n">
        <v>53.8704</v>
      </c>
      <c r="C277" s="10" t="n">
        <v>51.964336</v>
      </c>
      <c r="D277" s="10" t="n">
        <v>52.789845</v>
      </c>
      <c r="E277" s="7">
        <f>IF(COUNT(B277:D277)=0,"",INDEX($B$275:$D$275,MATCH(MIN(B277:D277),B277:D277,0)))</f>
        <v/>
      </c>
      <c r="F277" s="10">
        <f>IF(OR(C277="",B277=""),"",C277-B277)</f>
        <v/>
      </c>
      <c r="G277" s="10">
        <f>IF(OR(D277="",B277=""),"",D277-B277)</f>
        <v/>
      </c>
      <c r="H277" s="2" t="inlineStr"/>
    </row>
    <row r="278">
      <c r="A278" s="7" t="n">
        <v>3</v>
      </c>
      <c r="B278" s="10" t="n">
        <v>53.89272</v>
      </c>
      <c r="C278" s="10" t="n">
        <v>53.090982</v>
      </c>
      <c r="D278" s="10" t="n">
        <v>51.83136</v>
      </c>
      <c r="E278" s="7">
        <f>IF(COUNT(B278:D278)=0,"",INDEX($B$275:$D$275,MATCH(MIN(B278:D278),B278:D278,0)))</f>
        <v/>
      </c>
      <c r="F278" s="10">
        <f>IF(OR(C278="",B278=""),"",C278-B278)</f>
        <v/>
      </c>
      <c r="G278" s="10">
        <f>IF(OR(D278="",B278=""),"",D278-B278)</f>
        <v/>
      </c>
      <c r="H278" s="2" t="inlineStr"/>
    </row>
    <row r="279">
      <c r="A279" s="7" t="n">
        <v>4</v>
      </c>
      <c r="B279" s="10" t="n">
        <v>53.923268</v>
      </c>
      <c r="C279" s="10" t="n">
        <v>51.83136</v>
      </c>
      <c r="D279" s="10" t="n">
        <v>51.75504</v>
      </c>
      <c r="E279" s="7">
        <f>IF(COUNT(B279:D279)=0,"",INDEX($B$275:$D$275,MATCH(MIN(B279:D279),B279:D279,0)))</f>
        <v/>
      </c>
      <c r="F279" s="10">
        <f>IF(OR(C279="",B279=""),"",C279-B279)</f>
        <v/>
      </c>
      <c r="G279" s="10">
        <f>IF(OR(D279="",B279=""),"",D279-B279)</f>
        <v/>
      </c>
      <c r="H279" s="2" t="inlineStr"/>
    </row>
    <row r="280">
      <c r="A280" s="7" t="n">
        <v>5</v>
      </c>
      <c r="B280" s="10" t="n">
        <v>53.535258</v>
      </c>
      <c r="C280" s="10" t="n">
        <v>52.24272</v>
      </c>
      <c r="D280" s="10" t="n">
        <v>52.2648</v>
      </c>
      <c r="E280" s="7">
        <f>IF(COUNT(B280:D280)=0,"",INDEX($B$275:$D$275,MATCH(MIN(B280:D280),B280:D280,0)))</f>
        <v/>
      </c>
      <c r="F280" s="10">
        <f>IF(OR(C280="",B280=""),"",C280-B280)</f>
        <v/>
      </c>
      <c r="G280" s="10">
        <f>IF(OR(D280="",B280=""),"",D280-B280)</f>
        <v/>
      </c>
      <c r="H280" s="2" t="inlineStr"/>
    </row>
    <row r="281">
      <c r="A281" s="7" t="n">
        <v>6</v>
      </c>
      <c r="B281" s="10" t="n">
        <v>54.843888</v>
      </c>
      <c r="C281" s="10" t="n">
        <v>52.215542</v>
      </c>
      <c r="D281" s="10" t="n">
        <v>51.743664</v>
      </c>
      <c r="E281" s="7">
        <f>IF(COUNT(B281:D281)=0,"",INDEX($B$275:$D$275,MATCH(MIN(B281:D281),B281:D281,0)))</f>
        <v/>
      </c>
      <c r="F281" s="10">
        <f>IF(OR(C281="",B281=""),"",C281-B281)</f>
        <v/>
      </c>
      <c r="G281" s="10">
        <f>IF(OR(D281="",B281=""),"",D281-B281)</f>
        <v/>
      </c>
      <c r="H281" s="2" t="inlineStr"/>
    </row>
    <row r="282">
      <c r="A282" s="7" t="n">
        <v>7</v>
      </c>
      <c r="B282" s="10" t="n">
        <v>53.2896</v>
      </c>
      <c r="C282" s="10" t="n">
        <v>51.72</v>
      </c>
      <c r="D282" s="10" t="n">
        <v>51.806565</v>
      </c>
      <c r="E282" s="7">
        <f>IF(COUNT(B282:D282)=0,"",INDEX($B$275:$D$275,MATCH(MIN(B282:D282),B282:D282,0)))</f>
        <v/>
      </c>
      <c r="F282" s="10">
        <f>IF(OR(C282="",B282=""),"",C282-B282)</f>
        <v/>
      </c>
      <c r="G282" s="10">
        <f>IF(OR(D282="",B282=""),"",D282-B282)</f>
        <v/>
      </c>
      <c r="H282" s="2" t="inlineStr"/>
    </row>
    <row r="283">
      <c r="A283" s="7" t="n">
        <v>8</v>
      </c>
      <c r="B283" s="10" t="n">
        <v>54.571968</v>
      </c>
      <c r="C283" s="10" t="n">
        <v>52.175295</v>
      </c>
      <c r="D283" s="10" t="n">
        <v>52.05984</v>
      </c>
      <c r="E283" s="7">
        <f>IF(COUNT(B283:D283)=0,"",INDEX($B$275:$D$275,MATCH(MIN(B283:D283),B283:D283,0)))</f>
        <v/>
      </c>
      <c r="F283" s="10">
        <f>IF(OR(C283="",B283=""),"",C283-B283)</f>
        <v/>
      </c>
      <c r="G283" s="10">
        <f>IF(OR(D283="",B283=""),"",D283-B283)</f>
        <v/>
      </c>
      <c r="H283" s="2" t="inlineStr"/>
    </row>
    <row r="284">
      <c r="A284" s="7" t="n">
        <v>9</v>
      </c>
      <c r="B284" s="10" t="n">
        <v>53.352</v>
      </c>
      <c r="C284" s="10" t="n">
        <v>53.47308</v>
      </c>
      <c r="D284" s="10" t="n">
        <v>52.632</v>
      </c>
      <c r="E284" s="7">
        <f>IF(COUNT(B284:D284)=0,"",INDEX($B$275:$D$275,MATCH(MIN(B284:D284),B284:D284,0)))</f>
        <v/>
      </c>
      <c r="F284" s="10">
        <f>IF(OR(C284="",B284=""),"",C284-B284)</f>
        <v/>
      </c>
      <c r="G284" s="10">
        <f>IF(OR(D284="",B284=""),"",D284-B284)</f>
        <v/>
      </c>
      <c r="H284" s="2" t="inlineStr"/>
    </row>
    <row r="285">
      <c r="A285" s="7" t="n">
        <v>10</v>
      </c>
      <c r="B285" s="10" t="n">
        <v>54.289806</v>
      </c>
      <c r="C285" s="10" t="n">
        <v>53.141946</v>
      </c>
      <c r="D285" s="10" t="n">
        <v>51.804396</v>
      </c>
      <c r="E285" s="7">
        <f>IF(COUNT(B285:D285)=0,"",INDEX($B$275:$D$275,MATCH(MIN(B285:D285),B285:D285,0)))</f>
        <v/>
      </c>
      <c r="F285" s="10">
        <f>IF(OR(C285="",B285=""),"",C285-B285)</f>
        <v/>
      </c>
      <c r="G285" s="10">
        <f>IF(OR(D285="",B285=""),"",D285-B285)</f>
        <v/>
      </c>
      <c r="H285" s="2" t="inlineStr"/>
    </row>
    <row r="286">
      <c r="A286" s="20" t="inlineStr">
        <is>
          <t>n</t>
        </is>
      </c>
      <c r="B286" s="21">
        <f>COUNT(B276:B285)</f>
        <v/>
      </c>
      <c r="C286" s="21">
        <f>COUNT(C276:C285)</f>
        <v/>
      </c>
      <c r="D286" s="21">
        <f>COUNT(D276:D285)</f>
        <v/>
      </c>
      <c r="E286" s="2" t="n"/>
      <c r="F286" s="21">
        <f>COUNT(F276:F285)</f>
        <v/>
      </c>
      <c r="G286" s="21">
        <f>COUNT(G276:G285)</f>
        <v/>
      </c>
      <c r="H286" s="2" t="n"/>
    </row>
    <row r="287">
      <c r="A287" s="20" t="inlineStr">
        <is>
          <t>Mittelwert</t>
        </is>
      </c>
      <c r="B287" s="24">
        <f>IF(B286=0,"",AVERAGE(B276:B285))</f>
        <v/>
      </c>
      <c r="C287" s="24">
        <f>IF(C286=0,"",AVERAGE(C276:C285))</f>
        <v/>
      </c>
      <c r="D287" s="24">
        <f>IF(D286=0,"",AVERAGE(D276:D285))</f>
        <v/>
      </c>
      <c r="E287" s="2" t="n"/>
      <c r="F287" s="24">
        <f>IF(F286=0,"",AVERAGE(F276:F285))</f>
        <v/>
      </c>
      <c r="G287" s="24">
        <f>IF(G286=0,"",AVERAGE(G276:G285))</f>
        <v/>
      </c>
      <c r="H287" s="2" t="n"/>
    </row>
    <row r="288">
      <c r="A288" s="20" t="inlineStr">
        <is>
          <t>Standardabweichung</t>
        </is>
      </c>
      <c r="B288" s="24">
        <f>IF(B286&lt;2,"",STDEV(B276:B285))</f>
        <v/>
      </c>
      <c r="C288" s="24">
        <f>IF(C286&lt;2,"",STDEV(C276:C285))</f>
        <v/>
      </c>
      <c r="D288" s="24">
        <f>IF(D286&lt;2,"",STDEV(D276:D285))</f>
        <v/>
      </c>
      <c r="E288" s="2" t="n"/>
      <c r="F288" s="24">
        <f>IF(F286&lt;2,"",STDEV(F276:F285))</f>
        <v/>
      </c>
      <c r="G288" s="24">
        <f>IF(G286&lt;2,"",STDEV(G276:G285))</f>
        <v/>
      </c>
      <c r="H288" s="2" t="n"/>
    </row>
    <row r="289">
      <c r="A289" s="20" t="inlineStr">
        <is>
          <t>Varianz</t>
        </is>
      </c>
      <c r="B289" s="26">
        <f>IF(B286&lt;2,"",VAR(B276:B285))</f>
        <v/>
      </c>
      <c r="C289" s="26">
        <f>IF(C286&lt;2,"",VAR(C276:C285))</f>
        <v/>
      </c>
      <c r="D289" s="26">
        <f>IF(D286&lt;2,"",VAR(D276:D285))</f>
        <v/>
      </c>
      <c r="E289" s="2" t="n"/>
      <c r="F289" s="26">
        <f>IF(F286&lt;2,"",VAR(F276:F285))</f>
        <v/>
      </c>
      <c r="G289" s="26">
        <f>IF(G286&lt;2,"",VAR(G276:G285))</f>
        <v/>
      </c>
      <c r="H289" s="2" t="n"/>
    </row>
    <row r="290">
      <c r="A290" s="20" t="inlineStr">
        <is>
          <t>Spannweite</t>
        </is>
      </c>
      <c r="B290" s="24">
        <f>IF(B286=0,"",MAX(B276:B285)-MIN(B276:B285))</f>
        <v/>
      </c>
      <c r="C290" s="24">
        <f>IF(C286=0,"",MAX(C276:C285)-MIN(C276:C285))</f>
        <v/>
      </c>
      <c r="D290" s="24">
        <f>IF(D286=0,"",MAX(D276:D285)-MIN(D276:D285))</f>
        <v/>
      </c>
      <c r="E290" s="2" t="n"/>
      <c r="F290" s="24">
        <f>IF(F286=0,"",MAX(F276:F285)-MIN(F276:F285))</f>
        <v/>
      </c>
      <c r="G290" s="24">
        <f>IF(G286=0,"",MAX(G276:G285)-MIN(G276:G285))</f>
        <v/>
      </c>
      <c r="H290" s="2" t="n"/>
    </row>
    <row r="291">
      <c r="A291" s="20" t="inlineStr">
        <is>
          <t>95-%-KI ±</t>
        </is>
      </c>
      <c r="B291" s="24">
        <f>IF(B286&lt;2,"",TINV(0.05,B286-1)*B288/SQRT(B286))</f>
        <v/>
      </c>
      <c r="C291" s="24">
        <f>IF(C286&lt;2,"",TINV(0.05,C286-1)*C288/SQRT(C286))</f>
        <v/>
      </c>
      <c r="D291" s="24">
        <f>IF(D286&lt;2,"",TINV(0.05,D286-1)*D288/SQRT(D286))</f>
        <v/>
      </c>
      <c r="E291" s="2" t="n"/>
      <c r="F291" s="24">
        <f>IF(F286&lt;2,"",TINV(0.05,F286-1)*F288/SQRT(F286))</f>
        <v/>
      </c>
      <c r="G291" s="24">
        <f>IF(G286&lt;2,"",TINV(0.05,G286-1)*G288/SQRT(G286))</f>
        <v/>
      </c>
      <c r="H291" s="2" t="n"/>
    </row>
    <row r="292">
      <c r="A292" s="20" t="inlineStr">
        <is>
          <t>KI unten</t>
        </is>
      </c>
      <c r="B292" s="24">
        <f>IF(B286&lt;2,"",B287-B291)</f>
        <v/>
      </c>
      <c r="C292" s="24">
        <f>IF(C286&lt;2,"",C287-C291)</f>
        <v/>
      </c>
      <c r="D292" s="24">
        <f>IF(D286&lt;2,"",D287-D291)</f>
        <v/>
      </c>
      <c r="E292" s="2" t="n"/>
      <c r="F292" s="24">
        <f>IF(F286&lt;2,"",F287-F291)</f>
        <v/>
      </c>
      <c r="G292" s="24">
        <f>IF(G286&lt;2,"",G287-G291)</f>
        <v/>
      </c>
      <c r="H292" s="2" t="n"/>
    </row>
    <row r="293">
      <c r="A293" s="20" t="inlineStr">
        <is>
          <t>KI oben</t>
        </is>
      </c>
      <c r="B293" s="24">
        <f>IF(B286&lt;2,"",B287+B291)</f>
        <v/>
      </c>
      <c r="C293" s="24">
        <f>IF(C286&lt;2,"",C287+C291)</f>
        <v/>
      </c>
      <c r="D293" s="24">
        <f>IF(D286&lt;2,"",D287+D291)</f>
        <v/>
      </c>
      <c r="E293" s="2" t="n"/>
      <c r="F293" s="24">
        <f>IF(F286&lt;2,"",F287+F291)</f>
        <v/>
      </c>
      <c r="G293" s="24">
        <f>IF(G286&lt;2,"",G287+G291)</f>
        <v/>
      </c>
      <c r="H293" s="2" t="n"/>
    </row>
    <row r="294">
      <c r="A294" s="20" t="inlineStr">
        <is>
          <t>Median</t>
        </is>
      </c>
      <c r="B294" s="24">
        <f>IF(B286=0,"",MEDIAN(B276:B285))</f>
        <v/>
      </c>
      <c r="C294" s="24">
        <f>IF(C286=0,"",MEDIAN(C276:C285))</f>
        <v/>
      </c>
      <c r="D294" s="24">
        <f>IF(D286=0,"",MEDIAN(D276:D285))</f>
        <v/>
      </c>
      <c r="E294" s="2" t="n"/>
      <c r="F294" s="24">
        <f>IF(F286=0,"",MEDIAN(F276:F285))</f>
        <v/>
      </c>
      <c r="G294" s="24">
        <f>IF(G286=0,"",MEDIAN(G276:G285))</f>
        <v/>
      </c>
      <c r="H294" s="2" t="n"/>
    </row>
    <row r="295">
      <c r="A295" s="20" t="inlineStr">
        <is>
          <t>Minimum</t>
        </is>
      </c>
      <c r="B295" s="24">
        <f>IF(B286=0,"",MIN(B276:B285))</f>
        <v/>
      </c>
      <c r="C295" s="24">
        <f>IF(C286=0,"",MIN(C276:C285))</f>
        <v/>
      </c>
      <c r="D295" s="24">
        <f>IF(D286=0,"",MIN(D276:D285))</f>
        <v/>
      </c>
      <c r="E295" s="2" t="n"/>
      <c r="F295" s="24">
        <f>IF(F286=0,"",MIN(F276:F285))</f>
        <v/>
      </c>
      <c r="G295" s="24">
        <f>IF(G286=0,"",MIN(G276:G285))</f>
        <v/>
      </c>
      <c r="H295" s="2" t="n"/>
    </row>
    <row r="296">
      <c r="A296" s="20" t="inlineStr">
        <is>
          <t>Maximum</t>
        </is>
      </c>
      <c r="B296" s="24">
        <f>IF(B286=0,"",MAX(B276:B285))</f>
        <v/>
      </c>
      <c r="C296" s="24">
        <f>IF(C286=0,"",MAX(C276:C285))</f>
        <v/>
      </c>
      <c r="D296" s="24">
        <f>IF(D286=0,"",MAX(D276:D285))</f>
        <v/>
      </c>
      <c r="E296" s="2" t="n"/>
      <c r="F296" s="24">
        <f>IF(F286=0,"",MAX(F276:F285))</f>
        <v/>
      </c>
      <c r="G296" s="24">
        <f>IF(G286=0,"",MAX(G276:G285))</f>
        <v/>
      </c>
      <c r="H296" s="2" t="n"/>
    </row>
    <row r="297">
      <c r="A297" s="20" t="inlineStr">
        <is>
          <t>CV zw. Zyklen [%]</t>
        </is>
      </c>
      <c r="B297" s="24">
        <f>IF(OR(B286&lt;2,B287=0),"",B288/ABS(B287)*100)</f>
        <v/>
      </c>
      <c r="C297" s="24">
        <f>IF(OR(C286&lt;2,C287=0),"",C288/ABS(C287)*100)</f>
        <v/>
      </c>
      <c r="D297" s="24">
        <f>IF(OR(D286&lt;2,D287=0),"",D288/ABS(D287)*100)</f>
        <v/>
      </c>
      <c r="E297" s="2" t="n"/>
      <c r="F297" s="2" t="n"/>
      <c r="G297" s="2" t="n"/>
      <c r="H297" s="2" t="n"/>
    </row>
    <row r="298">
      <c r="A298" s="20" t="inlineStr">
        <is>
          <t>Zyklen mit kleinstem Wert</t>
        </is>
      </c>
      <c r="B298" s="21">
        <f>COUNTIF($E$276:$E$285,B$275)</f>
        <v/>
      </c>
      <c r="C298" s="21">
        <f>COUNTIF($E$276:$E$285,C$275)</f>
        <v/>
      </c>
      <c r="D298" s="21">
        <f>COUNTIF($E$276:$E$285,D$275)</f>
        <v/>
      </c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15" t="inlineStr">
        <is>
          <t>FurMark-Score</t>
        </is>
      </c>
      <c r="B301" s="2" t="n"/>
      <c r="C301" s="2" t="n"/>
      <c r="D301" s="2" t="n"/>
      <c r="E301" s="2" t="n"/>
      <c r="F301" s="2" t="n"/>
      <c r="G301" s="2" t="n"/>
      <c r="H301" s="2" t="n"/>
    </row>
    <row r="302">
      <c r="A302" s="3" t="inlineStr">
        <is>
          <t>Zyklus</t>
        </is>
      </c>
      <c r="B302" s="3" t="inlineStr">
        <is>
          <t>ALT (31.0.101.2115)</t>
        </is>
      </c>
      <c r="C302" s="3" t="inlineStr">
        <is>
          <t>MITTEL (31.0.101.2135)</t>
        </is>
      </c>
      <c r="D302" s="3" t="inlineStr">
        <is>
          <t>NEU (31.0.101.2141)</t>
        </is>
      </c>
      <c r="E302" s="3" t="inlineStr">
        <is>
          <t>Kleinster Wert</t>
        </is>
      </c>
      <c r="F302" s="3" t="inlineStr">
        <is>
          <t>MITTEL (31.0.101.2135) − ALT (31.0.101.2115)</t>
        </is>
      </c>
      <c r="G302" s="3" t="inlineStr">
        <is>
          <t>NEU (31.0.101.2141) − ALT (31.0.101.2115)</t>
        </is>
      </c>
      <c r="H302" s="3" t="inlineStr">
        <is>
          <t>Hinweis</t>
        </is>
      </c>
    </row>
    <row r="303">
      <c r="A303" s="7" t="n">
        <v>1</v>
      </c>
      <c r="B303" s="8" t="n">
        <v>1150</v>
      </c>
      <c r="C303" s="8" t="n">
        <v>951</v>
      </c>
      <c r="D303" s="8" t="n">
        <v>923</v>
      </c>
      <c r="E303" s="7">
        <f>IF(COUNT(B303:D303)=0,"",INDEX($B$302:$D$302,MATCH(MIN(B303:D303),B303:D303,0)))</f>
        <v/>
      </c>
      <c r="F303" s="8">
        <f>IF(OR(C303="",B303=""),"",C303-B303)</f>
        <v/>
      </c>
      <c r="G303" s="8">
        <f>IF(OR(D303="",B303=""),"",D303-B303)</f>
        <v/>
      </c>
      <c r="H303" s="2" t="inlineStr"/>
    </row>
    <row r="304">
      <c r="A304" s="7" t="n">
        <v>2</v>
      </c>
      <c r="B304" s="8" t="n">
        <v>1148</v>
      </c>
      <c r="C304" s="8" t="n">
        <v>938</v>
      </c>
      <c r="D304" s="8" t="n">
        <v>954</v>
      </c>
      <c r="E304" s="7">
        <f>IF(COUNT(B304:D304)=0,"",INDEX($B$302:$D$302,MATCH(MIN(B304:D304),B304:D304,0)))</f>
        <v/>
      </c>
      <c r="F304" s="8">
        <f>IF(OR(C304="",B304=""),"",C304-B304)</f>
        <v/>
      </c>
      <c r="G304" s="8">
        <f>IF(OR(D304="",B304=""),"",D304-B304)</f>
        <v/>
      </c>
      <c r="H304" s="2" t="inlineStr"/>
    </row>
    <row r="305">
      <c r="A305" s="7" t="n">
        <v>3</v>
      </c>
      <c r="B305" s="8" t="n">
        <v>1167</v>
      </c>
      <c r="C305" s="8" t="n">
        <v>957</v>
      </c>
      <c r="D305" s="8" t="n">
        <v>965</v>
      </c>
      <c r="E305" s="7">
        <f>IF(COUNT(B305:D305)=0,"",INDEX($B$302:$D$302,MATCH(MIN(B305:D305),B305:D305,0)))</f>
        <v/>
      </c>
      <c r="F305" s="8">
        <f>IF(OR(C305="",B305=""),"",C305-B305)</f>
        <v/>
      </c>
      <c r="G305" s="8">
        <f>IF(OR(D305="",B305=""),"",D305-B305)</f>
        <v/>
      </c>
      <c r="H305" s="2" t="inlineStr"/>
    </row>
    <row r="306">
      <c r="A306" s="7" t="n">
        <v>4</v>
      </c>
      <c r="B306" s="8" t="n">
        <v>1158</v>
      </c>
      <c r="C306" s="8" t="n">
        <v>976</v>
      </c>
      <c r="D306" s="8" t="n">
        <v>951</v>
      </c>
      <c r="E306" s="7">
        <f>IF(COUNT(B306:D306)=0,"",INDEX($B$302:$D$302,MATCH(MIN(B306:D306),B306:D306,0)))</f>
        <v/>
      </c>
      <c r="F306" s="8">
        <f>IF(OR(C306="",B306=""),"",C306-B306)</f>
        <v/>
      </c>
      <c r="G306" s="8">
        <f>IF(OR(D306="",B306=""),"",D306-B306)</f>
        <v/>
      </c>
      <c r="H306" s="2" t="inlineStr"/>
    </row>
    <row r="307">
      <c r="A307" s="7" t="n">
        <v>5</v>
      </c>
      <c r="B307" s="8" t="n">
        <v>1156</v>
      </c>
      <c r="C307" s="8" t="n">
        <v>963</v>
      </c>
      <c r="D307" s="8" t="n">
        <v>969</v>
      </c>
      <c r="E307" s="7">
        <f>IF(COUNT(B307:D307)=0,"",INDEX($B$302:$D$302,MATCH(MIN(B307:D307),B307:D307,0)))</f>
        <v/>
      </c>
      <c r="F307" s="8">
        <f>IF(OR(C307="",B307=""),"",C307-B307)</f>
        <v/>
      </c>
      <c r="G307" s="8">
        <f>IF(OR(D307="",B307=""),"",D307-B307)</f>
        <v/>
      </c>
      <c r="H307" s="2" t="inlineStr"/>
    </row>
    <row r="308">
      <c r="A308" s="7" t="n">
        <v>6</v>
      </c>
      <c r="B308" s="8" t="n">
        <v>1161</v>
      </c>
      <c r="C308" s="8" t="n">
        <v>959</v>
      </c>
      <c r="D308" s="8" t="n">
        <v>948</v>
      </c>
      <c r="E308" s="7">
        <f>IF(COUNT(B308:D308)=0,"",INDEX($B$302:$D$302,MATCH(MIN(B308:D308),B308:D308,0)))</f>
        <v/>
      </c>
      <c r="F308" s="8">
        <f>IF(OR(C308="",B308=""),"",C308-B308)</f>
        <v/>
      </c>
      <c r="G308" s="8">
        <f>IF(OR(D308="",B308=""),"",D308-B308)</f>
        <v/>
      </c>
      <c r="H308" s="2" t="inlineStr"/>
    </row>
    <row r="309">
      <c r="A309" s="7" t="n">
        <v>7</v>
      </c>
      <c r="B309" s="8" t="n">
        <v>1133</v>
      </c>
      <c r="C309" s="8" t="n">
        <v>948</v>
      </c>
      <c r="D309" s="8" t="n">
        <v>943</v>
      </c>
      <c r="E309" s="7">
        <f>IF(COUNT(B309:D309)=0,"",INDEX($B$302:$D$302,MATCH(MIN(B309:D309),B309:D309,0)))</f>
        <v/>
      </c>
      <c r="F309" s="8">
        <f>IF(OR(C309="",B309=""),"",C309-B309)</f>
        <v/>
      </c>
      <c r="G309" s="8">
        <f>IF(OR(D309="",B309=""),"",D309-B309)</f>
        <v/>
      </c>
      <c r="H309" s="2" t="inlineStr"/>
    </row>
    <row r="310">
      <c r="A310" s="7" t="n">
        <v>8</v>
      </c>
      <c r="B310" s="8" t="n">
        <v>1156</v>
      </c>
      <c r="C310" s="8" t="n">
        <v>972</v>
      </c>
      <c r="D310" s="8" t="n">
        <v>942</v>
      </c>
      <c r="E310" s="7">
        <f>IF(COUNT(B310:D310)=0,"",INDEX($B$302:$D$302,MATCH(MIN(B310:D310),B310:D310,0)))</f>
        <v/>
      </c>
      <c r="F310" s="8">
        <f>IF(OR(C310="",B310=""),"",C310-B310)</f>
        <v/>
      </c>
      <c r="G310" s="8">
        <f>IF(OR(D310="",B310=""),"",D310-B310)</f>
        <v/>
      </c>
      <c r="H310" s="2" t="inlineStr"/>
    </row>
    <row r="311">
      <c r="A311" s="7" t="n">
        <v>9</v>
      </c>
      <c r="B311" s="8" t="n">
        <v>1149</v>
      </c>
      <c r="C311" s="8" t="n">
        <v>962</v>
      </c>
      <c r="D311" s="8" t="n">
        <v>963</v>
      </c>
      <c r="E311" s="7">
        <f>IF(COUNT(B311:D311)=0,"",INDEX($B$302:$D$302,MATCH(MIN(B311:D311),B311:D311,0)))</f>
        <v/>
      </c>
      <c r="F311" s="8">
        <f>IF(OR(C311="",B311=""),"",C311-B311)</f>
        <v/>
      </c>
      <c r="G311" s="8">
        <f>IF(OR(D311="",B311=""),"",D311-B311)</f>
        <v/>
      </c>
      <c r="H311" s="2" t="inlineStr"/>
    </row>
    <row r="312">
      <c r="A312" s="7" t="n">
        <v>10</v>
      </c>
      <c r="B312" s="8" t="n">
        <v>1161</v>
      </c>
      <c r="C312" s="8" t="n">
        <v>961</v>
      </c>
      <c r="D312" s="8" t="n">
        <v>960</v>
      </c>
      <c r="E312" s="7">
        <f>IF(COUNT(B312:D312)=0,"",INDEX($B$302:$D$302,MATCH(MIN(B312:D312),B312:D312,0)))</f>
        <v/>
      </c>
      <c r="F312" s="8">
        <f>IF(OR(C312="",B312=""),"",C312-B312)</f>
        <v/>
      </c>
      <c r="G312" s="8">
        <f>IF(OR(D312="",B312=""),"",D312-B312)</f>
        <v/>
      </c>
      <c r="H312" s="2" t="inlineStr"/>
    </row>
    <row r="313">
      <c r="A313" s="20" t="inlineStr">
        <is>
          <t>n</t>
        </is>
      </c>
      <c r="B313" s="21">
        <f>COUNT(B303:B312)</f>
        <v/>
      </c>
      <c r="C313" s="21">
        <f>COUNT(C303:C312)</f>
        <v/>
      </c>
      <c r="D313" s="21">
        <f>COUNT(D303:D312)</f>
        <v/>
      </c>
      <c r="E313" s="2" t="n"/>
      <c r="F313" s="21">
        <f>COUNT(F303:F312)</f>
        <v/>
      </c>
      <c r="G313" s="21">
        <f>COUNT(G303:G312)</f>
        <v/>
      </c>
      <c r="H313" s="2" t="n"/>
    </row>
    <row r="314">
      <c r="A314" s="20" t="inlineStr">
        <is>
          <t>Mittelwert</t>
        </is>
      </c>
      <c r="B314" s="22">
        <f>IF(B313=0,"",AVERAGE(B303:B312))</f>
        <v/>
      </c>
      <c r="C314" s="22">
        <f>IF(C313=0,"",AVERAGE(C303:C312))</f>
        <v/>
      </c>
      <c r="D314" s="22">
        <f>IF(D313=0,"",AVERAGE(D303:D312))</f>
        <v/>
      </c>
      <c r="E314" s="2" t="n"/>
      <c r="F314" s="22">
        <f>IF(F313=0,"",AVERAGE(F303:F312))</f>
        <v/>
      </c>
      <c r="G314" s="22">
        <f>IF(G313=0,"",AVERAGE(G303:G312))</f>
        <v/>
      </c>
      <c r="H314" s="2" t="n"/>
    </row>
    <row r="315">
      <c r="A315" s="20" t="inlineStr">
        <is>
          <t>Standardabweichung</t>
        </is>
      </c>
      <c r="B315" s="22">
        <f>IF(B313&lt;2,"",STDEV(B303:B312))</f>
        <v/>
      </c>
      <c r="C315" s="22">
        <f>IF(C313&lt;2,"",STDEV(C303:C312))</f>
        <v/>
      </c>
      <c r="D315" s="22">
        <f>IF(D313&lt;2,"",STDEV(D303:D312))</f>
        <v/>
      </c>
      <c r="E315" s="2" t="n"/>
      <c r="F315" s="22">
        <f>IF(F313&lt;2,"",STDEV(F303:F312))</f>
        <v/>
      </c>
      <c r="G315" s="22">
        <f>IF(G313&lt;2,"",STDEV(G303:G312))</f>
        <v/>
      </c>
      <c r="H315" s="2" t="n"/>
    </row>
    <row r="316">
      <c r="A316" s="20" t="inlineStr">
        <is>
          <t>Varianz</t>
        </is>
      </c>
      <c r="B316" s="23">
        <f>IF(B313&lt;2,"",VAR(B303:B312))</f>
        <v/>
      </c>
      <c r="C316" s="23">
        <f>IF(C313&lt;2,"",VAR(C303:C312))</f>
        <v/>
      </c>
      <c r="D316" s="23">
        <f>IF(D313&lt;2,"",VAR(D303:D312))</f>
        <v/>
      </c>
      <c r="E316" s="2" t="n"/>
      <c r="F316" s="23">
        <f>IF(F313&lt;2,"",VAR(F303:F312))</f>
        <v/>
      </c>
      <c r="G316" s="23">
        <f>IF(G313&lt;2,"",VAR(G303:G312))</f>
        <v/>
      </c>
      <c r="H316" s="2" t="n"/>
    </row>
    <row r="317">
      <c r="A317" s="20" t="inlineStr">
        <is>
          <t>Spannweite</t>
        </is>
      </c>
      <c r="B317" s="22">
        <f>IF(B313=0,"",MAX(B303:B312)-MIN(B303:B312))</f>
        <v/>
      </c>
      <c r="C317" s="22">
        <f>IF(C313=0,"",MAX(C303:C312)-MIN(C303:C312))</f>
        <v/>
      </c>
      <c r="D317" s="22">
        <f>IF(D313=0,"",MAX(D303:D312)-MIN(D303:D312))</f>
        <v/>
      </c>
      <c r="E317" s="2" t="n"/>
      <c r="F317" s="22">
        <f>IF(F313=0,"",MAX(F303:F312)-MIN(F303:F312))</f>
        <v/>
      </c>
      <c r="G317" s="22">
        <f>IF(G313=0,"",MAX(G303:G312)-MIN(G303:G312))</f>
        <v/>
      </c>
      <c r="H317" s="2" t="n"/>
    </row>
    <row r="318">
      <c r="A318" s="20" t="inlineStr">
        <is>
          <t>95-%-KI ±</t>
        </is>
      </c>
      <c r="B318" s="22">
        <f>IF(B313&lt;2,"",TINV(0.05,B313-1)*B315/SQRT(B313))</f>
        <v/>
      </c>
      <c r="C318" s="22">
        <f>IF(C313&lt;2,"",TINV(0.05,C313-1)*C315/SQRT(C313))</f>
        <v/>
      </c>
      <c r="D318" s="22">
        <f>IF(D313&lt;2,"",TINV(0.05,D313-1)*D315/SQRT(D313))</f>
        <v/>
      </c>
      <c r="E318" s="2" t="n"/>
      <c r="F318" s="22">
        <f>IF(F313&lt;2,"",TINV(0.05,F313-1)*F315/SQRT(F313))</f>
        <v/>
      </c>
      <c r="G318" s="22">
        <f>IF(G313&lt;2,"",TINV(0.05,G313-1)*G315/SQRT(G313))</f>
        <v/>
      </c>
      <c r="H318" s="2" t="n"/>
    </row>
    <row r="319">
      <c r="A319" s="20" t="inlineStr">
        <is>
          <t>KI unten</t>
        </is>
      </c>
      <c r="B319" s="22">
        <f>IF(B313&lt;2,"",B314-B318)</f>
        <v/>
      </c>
      <c r="C319" s="22">
        <f>IF(C313&lt;2,"",C314-C318)</f>
        <v/>
      </c>
      <c r="D319" s="22">
        <f>IF(D313&lt;2,"",D314-D318)</f>
        <v/>
      </c>
      <c r="E319" s="2" t="n"/>
      <c r="F319" s="22">
        <f>IF(F313&lt;2,"",F314-F318)</f>
        <v/>
      </c>
      <c r="G319" s="22">
        <f>IF(G313&lt;2,"",G314-G318)</f>
        <v/>
      </c>
      <c r="H319" s="2" t="n"/>
    </row>
    <row r="320">
      <c r="A320" s="20" t="inlineStr">
        <is>
          <t>KI oben</t>
        </is>
      </c>
      <c r="B320" s="22">
        <f>IF(B313&lt;2,"",B314+B318)</f>
        <v/>
      </c>
      <c r="C320" s="22">
        <f>IF(C313&lt;2,"",C314+C318)</f>
        <v/>
      </c>
      <c r="D320" s="22">
        <f>IF(D313&lt;2,"",D314+D318)</f>
        <v/>
      </c>
      <c r="E320" s="2" t="n"/>
      <c r="F320" s="22">
        <f>IF(F313&lt;2,"",F314+F318)</f>
        <v/>
      </c>
      <c r="G320" s="22">
        <f>IF(G313&lt;2,"",G314+G318)</f>
        <v/>
      </c>
      <c r="H320" s="2" t="n"/>
    </row>
    <row r="321">
      <c r="A321" s="20" t="inlineStr">
        <is>
          <t>Median</t>
        </is>
      </c>
      <c r="B321" s="22">
        <f>IF(B313=0,"",MEDIAN(B303:B312))</f>
        <v/>
      </c>
      <c r="C321" s="22">
        <f>IF(C313=0,"",MEDIAN(C303:C312))</f>
        <v/>
      </c>
      <c r="D321" s="22">
        <f>IF(D313=0,"",MEDIAN(D303:D312))</f>
        <v/>
      </c>
      <c r="E321" s="2" t="n"/>
      <c r="F321" s="22">
        <f>IF(F313=0,"",MEDIAN(F303:F312))</f>
        <v/>
      </c>
      <c r="G321" s="22">
        <f>IF(G313=0,"",MEDIAN(G303:G312))</f>
        <v/>
      </c>
      <c r="H321" s="2" t="n"/>
    </row>
    <row r="322">
      <c r="A322" s="20" t="inlineStr">
        <is>
          <t>Minimum</t>
        </is>
      </c>
      <c r="B322" s="22">
        <f>IF(B313=0,"",MIN(B303:B312))</f>
        <v/>
      </c>
      <c r="C322" s="22">
        <f>IF(C313=0,"",MIN(C303:C312))</f>
        <v/>
      </c>
      <c r="D322" s="22">
        <f>IF(D313=0,"",MIN(D303:D312))</f>
        <v/>
      </c>
      <c r="E322" s="2" t="n"/>
      <c r="F322" s="22">
        <f>IF(F313=0,"",MIN(F303:F312))</f>
        <v/>
      </c>
      <c r="G322" s="22">
        <f>IF(G313=0,"",MIN(G303:G312))</f>
        <v/>
      </c>
      <c r="H322" s="2" t="n"/>
    </row>
    <row r="323">
      <c r="A323" s="20" t="inlineStr">
        <is>
          <t>Maximum</t>
        </is>
      </c>
      <c r="B323" s="22">
        <f>IF(B313=0,"",MAX(B303:B312))</f>
        <v/>
      </c>
      <c r="C323" s="22">
        <f>IF(C313=0,"",MAX(C303:C312))</f>
        <v/>
      </c>
      <c r="D323" s="22">
        <f>IF(D313=0,"",MAX(D303:D312))</f>
        <v/>
      </c>
      <c r="E323" s="2" t="n"/>
      <c r="F323" s="22">
        <f>IF(F313=0,"",MAX(F303:F312))</f>
        <v/>
      </c>
      <c r="G323" s="22">
        <f>IF(G313=0,"",MAX(G303:G312))</f>
        <v/>
      </c>
      <c r="H323" s="2" t="n"/>
    </row>
    <row r="324">
      <c r="A324" s="20" t="inlineStr">
        <is>
          <t>CV zw. Zyklen [%]</t>
        </is>
      </c>
      <c r="B324" s="24">
        <f>IF(OR(B313&lt;2,B314=0),"",B315/ABS(B314)*100)</f>
        <v/>
      </c>
      <c r="C324" s="24">
        <f>IF(OR(C313&lt;2,C314=0),"",C315/ABS(C314)*100)</f>
        <v/>
      </c>
      <c r="D324" s="24">
        <f>IF(OR(D313&lt;2,D314=0),"",D315/ABS(D314)*100)</f>
        <v/>
      </c>
      <c r="E324" s="2" t="n"/>
      <c r="F324" s="2" t="n"/>
      <c r="G324" s="2" t="n"/>
      <c r="H324" s="2" t="n"/>
    </row>
    <row r="325">
      <c r="A325" s="20" t="inlineStr">
        <is>
          <t>Zyklen mit kleinstem Wert</t>
        </is>
      </c>
      <c r="B325" s="21">
        <f>COUNTIF($E$303:$E$312,B$302)</f>
        <v/>
      </c>
      <c r="C325" s="21">
        <f>COUNTIF($E$303:$E$312,C$302)</f>
        <v/>
      </c>
      <c r="D325" s="21">
        <f>COUNTIF($E$303:$E$312,D$302)</f>
        <v/>
      </c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15" t="inlineStr">
        <is>
          <t>Effizienz [J je Score-Punkt]</t>
        </is>
      </c>
      <c r="B328" s="2" t="n"/>
      <c r="C328" s="2" t="n"/>
      <c r="D328" s="2" t="n"/>
      <c r="E328" s="2" t="n"/>
      <c r="F328" s="2" t="n"/>
      <c r="G328" s="2" t="n"/>
      <c r="H328" s="2" t="n"/>
    </row>
    <row r="329">
      <c r="A329" s="3" t="inlineStr">
        <is>
          <t>Zyklus</t>
        </is>
      </c>
      <c r="B329" s="3" t="inlineStr">
        <is>
          <t>ALT (31.0.101.2115)</t>
        </is>
      </c>
      <c r="C329" s="3" t="inlineStr">
        <is>
          <t>MITTEL (31.0.101.2135)</t>
        </is>
      </c>
      <c r="D329" s="3" t="inlineStr">
        <is>
          <t>NEU (31.0.101.2141)</t>
        </is>
      </c>
      <c r="E329" s="3" t="inlineStr">
        <is>
          <t>Kleinster Wert</t>
        </is>
      </c>
      <c r="F329" s="3" t="inlineStr">
        <is>
          <t>MITTEL (31.0.101.2135) − ALT (31.0.101.2115)</t>
        </is>
      </c>
      <c r="G329" s="3" t="inlineStr">
        <is>
          <t>NEU (31.0.101.2141) − ALT (31.0.101.2115)</t>
        </is>
      </c>
      <c r="H329" s="3" t="inlineStr">
        <is>
          <t>Hinweis</t>
        </is>
      </c>
    </row>
    <row r="330">
      <c r="A330" s="7" t="n">
        <v>1</v>
      </c>
      <c r="B330" s="13" t="n">
        <v>7.11166</v>
      </c>
      <c r="C330" s="13" t="n">
        <v>8.578006</v>
      </c>
      <c r="D330" s="13" t="n">
        <v>8.613451</v>
      </c>
      <c r="E330" s="7">
        <f>IF(COUNT(B330:D330)=0,"",INDEX($B$329:$D$329,MATCH(MIN(B330:D330),B330:D330,0)))</f>
        <v/>
      </c>
      <c r="F330" s="13">
        <f>IF(OR(C330="",B330=""),"",C330-B330)</f>
        <v/>
      </c>
      <c r="G330" s="13">
        <f>IF(OR(D330="",B330=""),"",D330-B330)</f>
        <v/>
      </c>
      <c r="H330" s="2" t="inlineStr"/>
    </row>
    <row r="331">
      <c r="A331" s="7" t="n">
        <v>2</v>
      </c>
      <c r="B331" s="13" t="n">
        <v>7.271251</v>
      </c>
      <c r="C331" s="13" t="n">
        <v>8.684932999999999</v>
      </c>
      <c r="D331" s="13" t="n">
        <v>8.272371</v>
      </c>
      <c r="E331" s="7">
        <f>IF(COUNT(B331:D331)=0,"",INDEX($B$329:$D$329,MATCH(MIN(B331:D331),B331:D331,0)))</f>
        <v/>
      </c>
      <c r="F331" s="13">
        <f>IF(OR(C331="",B331=""),"",C331-B331)</f>
        <v/>
      </c>
      <c r="G331" s="13">
        <f>IF(OR(D331="",B331=""),"",D331-B331)</f>
        <v/>
      </c>
      <c r="H331" s="2" t="inlineStr"/>
    </row>
    <row r="332">
      <c r="A332" s="7" t="n">
        <v>3</v>
      </c>
      <c r="B332" s="13" t="n">
        <v>7.136589</v>
      </c>
      <c r="C332" s="13" t="n">
        <v>8.753513999999999</v>
      </c>
      <c r="D332" s="13" t="n">
        <v>8.622132000000001</v>
      </c>
      <c r="E332" s="7">
        <f>IF(COUNT(B332:D332)=0,"",INDEX($B$329:$D$329,MATCH(MIN(B332:D332),B332:D332,0)))</f>
        <v/>
      </c>
      <c r="F332" s="13">
        <f>IF(OR(C332="",B332=""),"",C332-B332)</f>
        <v/>
      </c>
      <c r="G332" s="13">
        <f>IF(OR(D332="",B332=""),"",D332-B332)</f>
        <v/>
      </c>
      <c r="H332" s="2" t="inlineStr"/>
    </row>
    <row r="333">
      <c r="A333" s="7" t="n">
        <v>4</v>
      </c>
      <c r="B333" s="13" t="n">
        <v>7.170612</v>
      </c>
      <c r="C333" s="13" t="n">
        <v>8.573513</v>
      </c>
      <c r="D333" s="13" t="n">
        <v>8.803580999999999</v>
      </c>
      <c r="E333" s="7">
        <f>IF(COUNT(B333:D333)=0,"",INDEX($B$329:$D$329,MATCH(MIN(B333:D333),B333:D333,0)))</f>
        <v/>
      </c>
      <c r="F333" s="13">
        <f>IF(OR(C333="",B333=""),"",C333-B333)</f>
        <v/>
      </c>
      <c r="G333" s="13">
        <f>IF(OR(D333="",B333=""),"",D333-B333)</f>
        <v/>
      </c>
      <c r="H333" s="2" t="inlineStr"/>
    </row>
    <row r="334">
      <c r="A334" s="7" t="n">
        <v>5</v>
      </c>
      <c r="B334" s="13" t="n">
        <v>7.211212</v>
      </c>
      <c r="C334" s="13" t="n">
        <v>8.64668</v>
      </c>
      <c r="D334" s="13" t="n">
        <v>8.634707000000001</v>
      </c>
      <c r="E334" s="7">
        <f>IF(COUNT(B334:D334)=0,"",INDEX($B$329:$D$329,MATCH(MIN(B334:D334),B334:D334,0)))</f>
        <v/>
      </c>
      <c r="F334" s="13">
        <f>IF(OR(C334="",B334=""),"",C334-B334)</f>
        <v/>
      </c>
      <c r="G334" s="13">
        <f>IF(OR(D334="",B334=""),"",D334-B334)</f>
        <v/>
      </c>
      <c r="H334" s="2" t="inlineStr"/>
    </row>
    <row r="335">
      <c r="A335" s="7" t="n">
        <v>6</v>
      </c>
      <c r="B335" s="13" t="n">
        <v>7.202276</v>
      </c>
      <c r="C335" s="13" t="n">
        <v>8.756800999999999</v>
      </c>
      <c r="D335" s="13" t="n">
        <v>8.859594</v>
      </c>
      <c r="E335" s="7">
        <f>IF(COUNT(B335:D335)=0,"",INDEX($B$329:$D$329,MATCH(MIN(B335:D335),B335:D335,0)))</f>
        <v/>
      </c>
      <c r="F335" s="13">
        <f>IF(OR(C335="",B335=""),"",C335-B335)</f>
        <v/>
      </c>
      <c r="G335" s="13">
        <f>IF(OR(D335="",B335=""),"",D335-B335)</f>
        <v/>
      </c>
      <c r="H335" s="2" t="inlineStr"/>
    </row>
    <row r="336">
      <c r="A336" s="7" t="n">
        <v>7</v>
      </c>
      <c r="B336" s="13" t="n">
        <v>7.324869</v>
      </c>
      <c r="C336" s="13" t="n">
        <v>8.858791999999999</v>
      </c>
      <c r="D336" s="13" t="n">
        <v>8.877307</v>
      </c>
      <c r="E336" s="7">
        <f>IF(COUNT(B336:D336)=0,"",INDEX($B$329:$D$329,MATCH(MIN(B336:D336),B336:D336,0)))</f>
        <v/>
      </c>
      <c r="F336" s="13">
        <f>IF(OR(C336="",B336=""),"",C336-B336)</f>
        <v/>
      </c>
      <c r="G336" s="13">
        <f>IF(OR(D336="",B336=""),"",D336-B336)</f>
        <v/>
      </c>
      <c r="H336" s="2" t="inlineStr"/>
    </row>
    <row r="337">
      <c r="A337" s="7" t="n">
        <v>8</v>
      </c>
      <c r="B337" s="13" t="n">
        <v>7.217461</v>
      </c>
      <c r="C337" s="13" t="n">
        <v>8.561833</v>
      </c>
      <c r="D337" s="13" t="n">
        <v>8.902357</v>
      </c>
      <c r="E337" s="7">
        <f>IF(COUNT(B337:D337)=0,"",INDEX($B$329:$D$329,MATCH(MIN(B337:D337),B337:D337,0)))</f>
        <v/>
      </c>
      <c r="F337" s="13">
        <f>IF(OR(C337="",B337=""),"",C337-B337)</f>
        <v/>
      </c>
      <c r="G337" s="13">
        <f>IF(OR(D337="",B337=""),"",D337-B337)</f>
        <v/>
      </c>
      <c r="H337" s="2" t="inlineStr"/>
    </row>
    <row r="338">
      <c r="A338" s="7" t="n">
        <v>9</v>
      </c>
      <c r="B338" s="13" t="n">
        <v>7.277965</v>
      </c>
      <c r="C338" s="13" t="n">
        <v>8.731427999999999</v>
      </c>
      <c r="D338" s="13" t="n">
        <v>8.713979</v>
      </c>
      <c r="E338" s="7">
        <f>IF(COUNT(B338:D338)=0,"",INDEX($B$329:$D$329,MATCH(MIN(B338:D338),B338:D338,0)))</f>
        <v/>
      </c>
      <c r="F338" s="13">
        <f>IF(OR(C338="",B338=""),"",C338-B338)</f>
        <v/>
      </c>
      <c r="G338" s="13">
        <f>IF(OR(D338="",B338=""),"",D338-B338)</f>
        <v/>
      </c>
      <c r="H338" s="2" t="inlineStr"/>
    </row>
    <row r="339">
      <c r="A339" s="7" t="n">
        <v>10</v>
      </c>
      <c r="B339" s="13" t="n">
        <v>7.195335</v>
      </c>
      <c r="C339" s="13" t="n">
        <v>8.73353</v>
      </c>
      <c r="D339" s="13" t="n">
        <v>8.747028</v>
      </c>
      <c r="E339" s="7">
        <f>IF(COUNT(B339:D339)=0,"",INDEX($B$329:$D$329,MATCH(MIN(B339:D339),B339:D339,0)))</f>
        <v/>
      </c>
      <c r="F339" s="13">
        <f>IF(OR(C339="",B339=""),"",C339-B339)</f>
        <v/>
      </c>
      <c r="G339" s="13">
        <f>IF(OR(D339="",B339=""),"",D339-B339)</f>
        <v/>
      </c>
      <c r="H339" s="2" t="inlineStr"/>
    </row>
    <row r="340">
      <c r="A340" s="20" t="inlineStr">
        <is>
          <t>n</t>
        </is>
      </c>
      <c r="B340" s="21">
        <f>COUNT(B330:B339)</f>
        <v/>
      </c>
      <c r="C340" s="21">
        <f>COUNT(C330:C339)</f>
        <v/>
      </c>
      <c r="D340" s="21">
        <f>COUNT(D330:D339)</f>
        <v/>
      </c>
      <c r="E340" s="2" t="n"/>
      <c r="F340" s="21">
        <f>COUNT(F330:F339)</f>
        <v/>
      </c>
      <c r="G340" s="21">
        <f>COUNT(G330:G339)</f>
        <v/>
      </c>
      <c r="H340" s="2" t="n"/>
    </row>
    <row r="341">
      <c r="A341" s="20" t="inlineStr">
        <is>
          <t>Mittelwert</t>
        </is>
      </c>
      <c r="B341" s="26">
        <f>IF(B340=0,"",AVERAGE(B330:B339))</f>
        <v/>
      </c>
      <c r="C341" s="26">
        <f>IF(C340=0,"",AVERAGE(C330:C339))</f>
        <v/>
      </c>
      <c r="D341" s="26">
        <f>IF(D340=0,"",AVERAGE(D330:D339))</f>
        <v/>
      </c>
      <c r="E341" s="2" t="n"/>
      <c r="F341" s="26">
        <f>IF(F340=0,"",AVERAGE(F330:F339))</f>
        <v/>
      </c>
      <c r="G341" s="26">
        <f>IF(G340=0,"",AVERAGE(G330:G339))</f>
        <v/>
      </c>
      <c r="H341" s="2" t="n"/>
    </row>
    <row r="342">
      <c r="A342" s="20" t="inlineStr">
        <is>
          <t>Standardabweichung</t>
        </is>
      </c>
      <c r="B342" s="26">
        <f>IF(B340&lt;2,"",STDEV(B330:B339))</f>
        <v/>
      </c>
      <c r="C342" s="26">
        <f>IF(C340&lt;2,"",STDEV(C330:C339))</f>
        <v/>
      </c>
      <c r="D342" s="26">
        <f>IF(D340&lt;2,"",STDEV(D330:D339))</f>
        <v/>
      </c>
      <c r="E342" s="2" t="n"/>
      <c r="F342" s="26">
        <f>IF(F340&lt;2,"",STDEV(F330:F339))</f>
        <v/>
      </c>
      <c r="G342" s="26">
        <f>IF(G340&lt;2,"",STDEV(G330:G339))</f>
        <v/>
      </c>
      <c r="H342" s="2" t="n"/>
    </row>
    <row r="343">
      <c r="A343" s="20" t="inlineStr">
        <is>
          <t>Varianz</t>
        </is>
      </c>
      <c r="B343" s="27">
        <f>IF(B340&lt;2,"",VAR(B330:B339))</f>
        <v/>
      </c>
      <c r="C343" s="27">
        <f>IF(C340&lt;2,"",VAR(C330:C339))</f>
        <v/>
      </c>
      <c r="D343" s="27">
        <f>IF(D340&lt;2,"",VAR(D330:D339))</f>
        <v/>
      </c>
      <c r="E343" s="2" t="n"/>
      <c r="F343" s="27">
        <f>IF(F340&lt;2,"",VAR(F330:F339))</f>
        <v/>
      </c>
      <c r="G343" s="27">
        <f>IF(G340&lt;2,"",VAR(G330:G339))</f>
        <v/>
      </c>
      <c r="H343" s="2" t="n"/>
    </row>
    <row r="344">
      <c r="A344" s="20" t="inlineStr">
        <is>
          <t>Spannweite</t>
        </is>
      </c>
      <c r="B344" s="26">
        <f>IF(B340=0,"",MAX(B330:B339)-MIN(B330:B339))</f>
        <v/>
      </c>
      <c r="C344" s="26">
        <f>IF(C340=0,"",MAX(C330:C339)-MIN(C330:C339))</f>
        <v/>
      </c>
      <c r="D344" s="26">
        <f>IF(D340=0,"",MAX(D330:D339)-MIN(D330:D339))</f>
        <v/>
      </c>
      <c r="E344" s="2" t="n"/>
      <c r="F344" s="26">
        <f>IF(F340=0,"",MAX(F330:F339)-MIN(F330:F339))</f>
        <v/>
      </c>
      <c r="G344" s="26">
        <f>IF(G340=0,"",MAX(G330:G339)-MIN(G330:G339))</f>
        <v/>
      </c>
      <c r="H344" s="2" t="n"/>
    </row>
    <row r="345">
      <c r="A345" s="20" t="inlineStr">
        <is>
          <t>95-%-KI ±</t>
        </is>
      </c>
      <c r="B345" s="26">
        <f>IF(B340&lt;2,"",TINV(0.05,B340-1)*B342/SQRT(B340))</f>
        <v/>
      </c>
      <c r="C345" s="26">
        <f>IF(C340&lt;2,"",TINV(0.05,C340-1)*C342/SQRT(C340))</f>
        <v/>
      </c>
      <c r="D345" s="26">
        <f>IF(D340&lt;2,"",TINV(0.05,D340-1)*D342/SQRT(D340))</f>
        <v/>
      </c>
      <c r="E345" s="2" t="n"/>
      <c r="F345" s="26">
        <f>IF(F340&lt;2,"",TINV(0.05,F340-1)*F342/SQRT(F340))</f>
        <v/>
      </c>
      <c r="G345" s="26">
        <f>IF(G340&lt;2,"",TINV(0.05,G340-1)*G342/SQRT(G340))</f>
        <v/>
      </c>
      <c r="H345" s="2" t="n"/>
    </row>
    <row r="346">
      <c r="A346" s="20" t="inlineStr">
        <is>
          <t>KI unten</t>
        </is>
      </c>
      <c r="B346" s="26">
        <f>IF(B340&lt;2,"",B341-B345)</f>
        <v/>
      </c>
      <c r="C346" s="26">
        <f>IF(C340&lt;2,"",C341-C345)</f>
        <v/>
      </c>
      <c r="D346" s="26">
        <f>IF(D340&lt;2,"",D341-D345)</f>
        <v/>
      </c>
      <c r="E346" s="2" t="n"/>
      <c r="F346" s="26">
        <f>IF(F340&lt;2,"",F341-F345)</f>
        <v/>
      </c>
      <c r="G346" s="26">
        <f>IF(G340&lt;2,"",G341-G345)</f>
        <v/>
      </c>
      <c r="H346" s="2" t="n"/>
    </row>
    <row r="347">
      <c r="A347" s="20" t="inlineStr">
        <is>
          <t>KI oben</t>
        </is>
      </c>
      <c r="B347" s="26">
        <f>IF(B340&lt;2,"",B341+B345)</f>
        <v/>
      </c>
      <c r="C347" s="26">
        <f>IF(C340&lt;2,"",C341+C345)</f>
        <v/>
      </c>
      <c r="D347" s="26">
        <f>IF(D340&lt;2,"",D341+D345)</f>
        <v/>
      </c>
      <c r="E347" s="2" t="n"/>
      <c r="F347" s="26">
        <f>IF(F340&lt;2,"",F341+F345)</f>
        <v/>
      </c>
      <c r="G347" s="26">
        <f>IF(G340&lt;2,"",G341+G345)</f>
        <v/>
      </c>
      <c r="H347" s="2" t="n"/>
    </row>
    <row r="348">
      <c r="A348" s="20" t="inlineStr">
        <is>
          <t>Median</t>
        </is>
      </c>
      <c r="B348" s="26">
        <f>IF(B340=0,"",MEDIAN(B330:B339))</f>
        <v/>
      </c>
      <c r="C348" s="26">
        <f>IF(C340=0,"",MEDIAN(C330:C339))</f>
        <v/>
      </c>
      <c r="D348" s="26">
        <f>IF(D340=0,"",MEDIAN(D330:D339))</f>
        <v/>
      </c>
      <c r="E348" s="2" t="n"/>
      <c r="F348" s="26">
        <f>IF(F340=0,"",MEDIAN(F330:F339))</f>
        <v/>
      </c>
      <c r="G348" s="26">
        <f>IF(G340=0,"",MEDIAN(G330:G339))</f>
        <v/>
      </c>
      <c r="H348" s="2" t="n"/>
    </row>
    <row r="349">
      <c r="A349" s="20" t="inlineStr">
        <is>
          <t>Minimum</t>
        </is>
      </c>
      <c r="B349" s="26">
        <f>IF(B340=0,"",MIN(B330:B339))</f>
        <v/>
      </c>
      <c r="C349" s="26">
        <f>IF(C340=0,"",MIN(C330:C339))</f>
        <v/>
      </c>
      <c r="D349" s="26">
        <f>IF(D340=0,"",MIN(D330:D339))</f>
        <v/>
      </c>
      <c r="E349" s="2" t="n"/>
      <c r="F349" s="26">
        <f>IF(F340=0,"",MIN(F330:F339))</f>
        <v/>
      </c>
      <c r="G349" s="26">
        <f>IF(G340=0,"",MIN(G330:G339))</f>
        <v/>
      </c>
      <c r="H349" s="2" t="n"/>
    </row>
    <row r="350">
      <c r="A350" s="20" t="inlineStr">
        <is>
          <t>Maximum</t>
        </is>
      </c>
      <c r="B350" s="26">
        <f>IF(B340=0,"",MAX(B330:B339))</f>
        <v/>
      </c>
      <c r="C350" s="26">
        <f>IF(C340=0,"",MAX(C330:C339))</f>
        <v/>
      </c>
      <c r="D350" s="26">
        <f>IF(D340=0,"",MAX(D330:D339))</f>
        <v/>
      </c>
      <c r="E350" s="2" t="n"/>
      <c r="F350" s="26">
        <f>IF(F340=0,"",MAX(F330:F339))</f>
        <v/>
      </c>
      <c r="G350" s="26">
        <f>IF(G340=0,"",MAX(G330:G339))</f>
        <v/>
      </c>
      <c r="H350" s="2" t="n"/>
    </row>
    <row r="351">
      <c r="A351" s="20" t="inlineStr">
        <is>
          <t>CV zw. Zyklen [%]</t>
        </is>
      </c>
      <c r="B351" s="24">
        <f>IF(OR(B340&lt;2,B341=0),"",B342/ABS(B341)*100)</f>
        <v/>
      </c>
      <c r="C351" s="24">
        <f>IF(OR(C340&lt;2,C341=0),"",C342/ABS(C341)*100)</f>
        <v/>
      </c>
      <c r="D351" s="24">
        <f>IF(OR(D340&lt;2,D341=0),"",D342/ABS(D341)*100)</f>
        <v/>
      </c>
      <c r="E351" s="2" t="n"/>
      <c r="F351" s="2" t="n"/>
      <c r="G351" s="2" t="n"/>
      <c r="H351" s="2" t="n"/>
    </row>
    <row r="352">
      <c r="A352" s="20" t="inlineStr">
        <is>
          <t>Zyklen mit kleinstem Wert</t>
        </is>
      </c>
      <c r="B352" s="21">
        <f>COUNTIF($E$330:$E$339,B$329)</f>
        <v/>
      </c>
      <c r="C352" s="21">
        <f>COUNTIF($E$330:$E$339,C$329)</f>
        <v/>
      </c>
      <c r="D352" s="21">
        <f>COUNTIF($E$330:$E$339,D$329)</f>
        <v/>
      </c>
      <c r="E352" s="2" t="n"/>
      <c r="F352" s="2" t="n"/>
      <c r="G352" s="2" t="n"/>
      <c r="H352" s="2" t="n"/>
    </row>
  </sheetData>
  <conditionalFormatting sqref="B6:D15">
    <cfRule type="expression" priority="1" dxfId="0">
      <formula>AND(ISNUMBER(B6),B6=MIN($B6:$D6))</formula>
    </cfRule>
  </conditionalFormatting>
  <conditionalFormatting sqref="B33:D42">
    <cfRule type="expression" priority="2" dxfId="0">
      <formula>AND(ISNUMBER(B33),B33=MIN($B33:$D33))</formula>
    </cfRule>
  </conditionalFormatting>
  <conditionalFormatting sqref="B60:D69">
    <cfRule type="expression" priority="3" dxfId="0">
      <formula>AND(ISNUMBER(B60),B60=MIN($B60:$D60))</formula>
    </cfRule>
  </conditionalFormatting>
  <conditionalFormatting sqref="B87:D96">
    <cfRule type="expression" priority="4" dxfId="0">
      <formula>AND(ISNUMBER(B87),B87=MIN($B87:$D87))</formula>
    </cfRule>
  </conditionalFormatting>
  <conditionalFormatting sqref="B114:D123">
    <cfRule type="expression" priority="5" dxfId="0">
      <formula>AND(ISNUMBER(B114),B114=MIN($B114:$D114))</formula>
    </cfRule>
  </conditionalFormatting>
  <conditionalFormatting sqref="B141:D150">
    <cfRule type="expression" priority="6" dxfId="0">
      <formula>AND(ISNUMBER(B141),B141=MIN($B141:$D141))</formula>
    </cfRule>
  </conditionalFormatting>
  <conditionalFormatting sqref="B168:D177">
    <cfRule type="expression" priority="7" dxfId="0">
      <formula>AND(ISNUMBER(B168),B168=MIN($B168:$D168))</formula>
    </cfRule>
  </conditionalFormatting>
  <conditionalFormatting sqref="B195:D204">
    <cfRule type="expression" priority="8" dxfId="0">
      <formula>AND(ISNUMBER(B195),B195=MIN($B195:$D195))</formula>
    </cfRule>
  </conditionalFormatting>
  <conditionalFormatting sqref="B222:D231">
    <cfRule type="expression" priority="9" dxfId="0">
      <formula>AND(ISNUMBER(B222),B222=MIN($B222:$D222))</formula>
    </cfRule>
  </conditionalFormatting>
  <conditionalFormatting sqref="B249:D258">
    <cfRule type="expression" priority="10" dxfId="0">
      <formula>AND(ISNUMBER(B249),B249=MIN($B249:$D249))</formula>
    </cfRule>
  </conditionalFormatting>
  <conditionalFormatting sqref="B276:D285">
    <cfRule type="expression" priority="11" dxfId="0">
      <formula>AND(ISNUMBER(B276),B276=MIN($B276:$D276))</formula>
    </cfRule>
  </conditionalFormatting>
  <conditionalFormatting sqref="B303:D312">
    <cfRule type="expression" priority="12" dxfId="0">
      <formula>AND(ISNUMBER(B303),B303=MIN($B303:$D303))</formula>
    </cfRule>
  </conditionalFormatting>
  <conditionalFormatting sqref="B330:D339">
    <cfRule type="expression" priority="13" dxfId="0">
      <formula>AND(ISNUMBER(B330),B330=MIN($B330:$D330))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45" customHeight="1">
      <c r="A1" s="3" t="inlineStr">
        <is>
          <t>Treiber</t>
        </is>
      </c>
      <c r="B1" s="3" t="inlineStr">
        <is>
          <t>Zyklus</t>
        </is>
      </c>
      <c r="C1" s="3" t="inlineStr">
        <is>
          <t>Lastbeginn [min]</t>
        </is>
      </c>
      <c r="D1" s="3" t="inlineStr">
        <is>
          <t>Lastdauer [s]</t>
        </is>
      </c>
      <c r="E1" s="3" t="inlineStr">
        <is>
          <t>Abstand zum Vorzyklus [s]</t>
        </is>
      </c>
      <c r="F1" s="3" t="inlineStr">
        <is>
          <t>vollständig</t>
        </is>
      </c>
      <c r="G1" s="3" t="inlineStr">
        <is>
          <t>Ausreißer</t>
        </is>
      </c>
      <c r="H1" s="3" t="inlineStr">
        <is>
          <t>verwertet</t>
        </is>
      </c>
      <c r="I1" s="3" t="inlineStr">
        <is>
          <t>Leerlauf vor Ø [W]</t>
        </is>
      </c>
      <c r="J1" s="3" t="inlineStr">
        <is>
          <t>Leerlauf vor Median [W]</t>
        </is>
      </c>
      <c r="K1" s="3" t="inlineStr">
        <is>
          <t>Leerlauf nach Ø [W]</t>
        </is>
      </c>
      <c r="L1" s="3" t="inlineStr">
        <is>
          <t>Leerlauf nach Median [W]</t>
        </is>
      </c>
      <c r="M1" s="3" t="inlineStr">
        <is>
          <t>Leerlauf Ø [W]</t>
        </is>
      </c>
      <c r="N1" s="3" t="inlineStr">
        <is>
          <t>Leerlauf Median [W]</t>
        </is>
      </c>
      <c r="O1" s="3" t="inlineStr">
        <is>
          <t>Leerlauf nach − vor [W]</t>
        </is>
      </c>
      <c r="P1" s="3" t="inlineStr">
        <is>
          <t>Leerlaufspitzen [Anzahl]</t>
        </is>
      </c>
      <c r="Q1" s="3" t="inlineStr">
        <is>
          <t>größte Leerlaufspitze [W]</t>
        </is>
      </c>
      <c r="R1" s="3" t="inlineStr">
        <is>
          <t>Last Ø [W]</t>
        </is>
      </c>
      <c r="S1" s="3" t="inlineStr">
        <is>
          <t>Last Median [W]</t>
        </is>
      </c>
      <c r="T1" s="3" t="inlineStr">
        <is>
          <t>Last SD [W]</t>
        </is>
      </c>
      <c r="U1" s="3" t="inlineStr">
        <is>
          <t>CV Last [%]</t>
        </is>
      </c>
      <c r="V1" s="3" t="inlineStr">
        <is>
          <t>Last Max [W]</t>
        </is>
      </c>
      <c r="W1" s="3" t="inlineStr">
        <is>
          <t>Last P95 [W]</t>
        </is>
      </c>
      <c r="X1" s="3" t="inlineStr">
        <is>
          <t>Einschwingspitze [W]</t>
        </is>
      </c>
      <c r="Y1" s="3" t="inlineStr">
        <is>
          <t>Lastfenster [s]</t>
        </is>
      </c>
      <c r="Z1" s="3" t="inlineStr">
        <is>
          <t>Energie Lastfenster [Wh]</t>
        </is>
      </c>
      <c r="AA1" s="3" t="inlineStr">
        <is>
          <t>Delta (Mittelwerte) [W]</t>
        </is>
      </c>
      <c r="AB1" s="3" t="inlineStr">
        <is>
          <t>Delta (Mediane) [W]</t>
        </is>
      </c>
      <c r="AC1" s="3" t="inlineStr">
        <is>
          <t>FurMark-Score</t>
        </is>
      </c>
      <c r="AD1" s="3" t="inlineStr">
        <is>
          <t>Effizienz [J je Score-Punkt]</t>
        </is>
      </c>
    </row>
    <row r="2">
      <c r="A2" s="2" t="inlineStr">
        <is>
          <t>ALT (31.0.101.2115)</t>
        </is>
      </c>
      <c r="B2" s="28" t="n">
        <v>1</v>
      </c>
      <c r="C2" s="29" t="n">
        <v>1.127416</v>
      </c>
      <c r="D2" s="30" t="n">
        <v>185.561372</v>
      </c>
      <c r="E2" s="30" t="n"/>
      <c r="F2" s="2" t="inlineStr">
        <is>
          <t>ja</t>
        </is>
      </c>
      <c r="G2" s="2" t="inlineStr">
        <is>
          <t>nein</t>
        </is>
      </c>
      <c r="H2" s="2" t="inlineStr">
        <is>
          <t>ja</t>
        </is>
      </c>
      <c r="I2" s="19" t="n">
        <v>9.147432999999999</v>
      </c>
      <c r="J2" s="19" t="n">
        <v>9.209168</v>
      </c>
      <c r="K2" s="19" t="n">
        <v>9.682520999999999</v>
      </c>
      <c r="L2" s="19" t="n">
        <v>9.513960000000001</v>
      </c>
      <c r="M2" s="19" t="n">
        <v>9.414977</v>
      </c>
      <c r="N2" s="19" t="n">
        <v>9.331200000000001</v>
      </c>
      <c r="O2" s="19" t="n">
        <v>0.535088</v>
      </c>
      <c r="P2" s="28" t="n">
        <v>3</v>
      </c>
      <c r="Q2" s="30" t="n">
        <v>13.81728</v>
      </c>
      <c r="R2" s="19" t="n">
        <v>53.48885</v>
      </c>
      <c r="S2" s="19" t="n">
        <v>53.70624</v>
      </c>
      <c r="T2" s="19" t="n">
        <v>1.781525</v>
      </c>
      <c r="U2" s="29" t="n">
        <v>3.330647</v>
      </c>
      <c r="V2" s="29" t="n">
        <v>56.2596</v>
      </c>
      <c r="W2" s="29" t="n">
        <v>54.66192</v>
      </c>
      <c r="X2" s="29" t="n">
        <v>54.26973</v>
      </c>
      <c r="Y2" s="30" t="n">
        <v>185.561372</v>
      </c>
      <c r="Z2" s="31" t="n">
        <v>2.761189</v>
      </c>
      <c r="AA2" s="19" t="n">
        <v>44.073874</v>
      </c>
      <c r="AB2" s="19" t="n">
        <v>44.37504</v>
      </c>
      <c r="AC2" s="29" t="n">
        <v>1150</v>
      </c>
      <c r="AD2" s="18" t="n">
        <v>7.11166</v>
      </c>
    </row>
    <row r="3">
      <c r="A3" s="2" t="inlineStr">
        <is>
          <t>ALT (31.0.101.2115)</t>
        </is>
      </c>
      <c r="B3" s="28" t="n">
        <v>2</v>
      </c>
      <c r="C3" s="29" t="n">
        <v>6.25511</v>
      </c>
      <c r="D3" s="30" t="n">
        <v>184.594549</v>
      </c>
      <c r="E3" s="30" t="n">
        <v>307.661629</v>
      </c>
      <c r="F3" s="2" t="inlineStr">
        <is>
          <t>ja</t>
        </is>
      </c>
      <c r="G3" s="2" t="inlineStr">
        <is>
          <t>nein</t>
        </is>
      </c>
      <c r="H3" s="2" t="inlineStr">
        <is>
          <t>ja</t>
        </is>
      </c>
      <c r="I3" s="19" t="n">
        <v>9.025096</v>
      </c>
      <c r="J3" s="19" t="n">
        <v>9.15828</v>
      </c>
      <c r="K3" s="19" t="n">
        <v>9.117436</v>
      </c>
      <c r="L3" s="19" t="n">
        <v>9.110958</v>
      </c>
      <c r="M3" s="19" t="n">
        <v>9.071266</v>
      </c>
      <c r="N3" s="19" t="n">
        <v>9.15828</v>
      </c>
      <c r="O3" s="19" t="n">
        <v>0.09234000000000001</v>
      </c>
      <c r="P3" s="28" t="n">
        <v>0</v>
      </c>
      <c r="Q3" s="30" t="n">
        <v>12.84192</v>
      </c>
      <c r="R3" s="19" t="n">
        <v>54.291434</v>
      </c>
      <c r="S3" s="19" t="n">
        <v>54.23088</v>
      </c>
      <c r="T3" s="19" t="n">
        <v>1.627025</v>
      </c>
      <c r="U3" s="29" t="n">
        <v>2.996836</v>
      </c>
      <c r="V3" s="29" t="n">
        <v>62.0136</v>
      </c>
      <c r="W3" s="29" t="n">
        <v>55.95993</v>
      </c>
      <c r="X3" s="29" t="n">
        <v>53.8704</v>
      </c>
      <c r="Y3" s="30" t="n">
        <v>184.594549</v>
      </c>
      <c r="Z3" s="31" t="n">
        <v>2.785574</v>
      </c>
      <c r="AA3" s="19" t="n">
        <v>45.220168</v>
      </c>
      <c r="AB3" s="19" t="n">
        <v>45.0726</v>
      </c>
      <c r="AC3" s="29" t="n">
        <v>1148</v>
      </c>
      <c r="AD3" s="18" t="n">
        <v>7.271251</v>
      </c>
    </row>
    <row r="4">
      <c r="A4" s="2" t="inlineStr">
        <is>
          <t>ALT (31.0.101.2115)</t>
        </is>
      </c>
      <c r="B4" s="28" t="n">
        <v>3</v>
      </c>
      <c r="C4" s="29" t="n">
        <v>11.365782</v>
      </c>
      <c r="D4" s="30" t="n">
        <v>186.707079</v>
      </c>
      <c r="E4" s="30" t="n">
        <v>306.640301</v>
      </c>
      <c r="F4" s="2" t="inlineStr">
        <is>
          <t>ja</t>
        </is>
      </c>
      <c r="G4" s="2" t="inlineStr">
        <is>
          <t>nein</t>
        </is>
      </c>
      <c r="H4" s="2" t="inlineStr">
        <is>
          <t>ja</t>
        </is>
      </c>
      <c r="I4" s="19" t="n">
        <v>9.368392999999999</v>
      </c>
      <c r="J4" s="19" t="n">
        <v>9.246672</v>
      </c>
      <c r="K4" s="19" t="n">
        <v>9.768390999999999</v>
      </c>
      <c r="L4" s="19" t="n">
        <v>9.567940999999999</v>
      </c>
      <c r="M4" s="19" t="n">
        <v>9.568391999999999</v>
      </c>
      <c r="N4" s="19" t="n">
        <v>9.455230999999999</v>
      </c>
      <c r="O4" s="19" t="n">
        <v>0.399998</v>
      </c>
      <c r="P4" s="28" t="n">
        <v>3</v>
      </c>
      <c r="Q4" s="30" t="n">
        <v>16.194236</v>
      </c>
      <c r="R4" s="19" t="n">
        <v>54.175158</v>
      </c>
      <c r="S4" s="19" t="n">
        <v>54.30888</v>
      </c>
      <c r="T4" s="19" t="n">
        <v>1.77676</v>
      </c>
      <c r="U4" s="29" t="n">
        <v>3.279659</v>
      </c>
      <c r="V4" s="29" t="n">
        <v>56.964688</v>
      </c>
      <c r="W4" s="29" t="n">
        <v>55.36746</v>
      </c>
      <c r="X4" s="29" t="n">
        <v>53.89272</v>
      </c>
      <c r="Y4" s="30" t="n">
        <v>186.707079</v>
      </c>
      <c r="Z4" s="31" t="n">
        <v>2.813999</v>
      </c>
      <c r="AA4" s="19" t="n">
        <v>44.606766</v>
      </c>
      <c r="AB4" s="19" t="n">
        <v>44.853649</v>
      </c>
      <c r="AC4" s="29" t="n">
        <v>1167</v>
      </c>
      <c r="AD4" s="18" t="n">
        <v>7.136589</v>
      </c>
    </row>
    <row r="5">
      <c r="A5" s="2" t="inlineStr">
        <is>
          <t>ALT (31.0.101.2115)</t>
        </is>
      </c>
      <c r="B5" s="28" t="n">
        <v>4</v>
      </c>
      <c r="C5" s="29" t="n">
        <v>16.495675</v>
      </c>
      <c r="D5" s="30" t="n">
        <v>185.659992</v>
      </c>
      <c r="E5" s="30" t="n">
        <v>307.793621</v>
      </c>
      <c r="F5" s="2" t="inlineStr">
        <is>
          <t>ja</t>
        </is>
      </c>
      <c r="G5" s="2" t="inlineStr">
        <is>
          <t>nein</t>
        </is>
      </c>
      <c r="H5" s="2" t="inlineStr">
        <is>
          <t>ja</t>
        </is>
      </c>
      <c r="I5" s="19" t="n">
        <v>9.359268</v>
      </c>
      <c r="J5" s="19" t="n">
        <v>9.375097999999999</v>
      </c>
      <c r="K5" s="19" t="n">
        <v>9.544433</v>
      </c>
      <c r="L5" s="19" t="n">
        <v>9.50628</v>
      </c>
      <c r="M5" s="19" t="n">
        <v>9.451851</v>
      </c>
      <c r="N5" s="19" t="n">
        <v>9.403636000000001</v>
      </c>
      <c r="O5" s="19" t="n">
        <v>0.185165</v>
      </c>
      <c r="P5" s="28" t="n">
        <v>1</v>
      </c>
      <c r="Q5" s="30" t="n">
        <v>19.882018</v>
      </c>
      <c r="R5" s="19" t="n">
        <v>54.176452</v>
      </c>
      <c r="S5" s="19" t="n">
        <v>54.346464</v>
      </c>
      <c r="T5" s="19" t="n">
        <v>1.742204</v>
      </c>
      <c r="U5" s="29" t="n">
        <v>3.215795</v>
      </c>
      <c r="V5" s="29" t="n">
        <v>57.7918</v>
      </c>
      <c r="W5" s="29" t="n">
        <v>55.656926</v>
      </c>
      <c r="X5" s="29" t="n">
        <v>53.923268</v>
      </c>
      <c r="Y5" s="30" t="n">
        <v>185.659992</v>
      </c>
      <c r="Z5" s="31" t="n">
        <v>2.797838</v>
      </c>
      <c r="AA5" s="19" t="n">
        <v>44.724601</v>
      </c>
      <c r="AB5" s="19" t="n">
        <v>44.942828</v>
      </c>
      <c r="AC5" s="29" t="n">
        <v>1158</v>
      </c>
      <c r="AD5" s="18" t="n">
        <v>7.170612</v>
      </c>
    </row>
    <row r="6">
      <c r="A6" s="2" t="inlineStr">
        <is>
          <t>ALT (31.0.101.2115)</t>
        </is>
      </c>
      <c r="B6" s="28" t="n">
        <v>5</v>
      </c>
      <c r="C6" s="29" t="n">
        <v>21.610054</v>
      </c>
      <c r="D6" s="30" t="n">
        <v>185.576208</v>
      </c>
      <c r="E6" s="30" t="n">
        <v>306.862732</v>
      </c>
      <c r="F6" s="2" t="inlineStr">
        <is>
          <t>ja</t>
        </is>
      </c>
      <c r="G6" s="2" t="inlineStr">
        <is>
          <t>nein</t>
        </is>
      </c>
      <c r="H6" s="2" t="inlineStr">
        <is>
          <t>ja</t>
        </is>
      </c>
      <c r="I6" s="19" t="n">
        <v>9.514106999999999</v>
      </c>
      <c r="J6" s="19" t="n">
        <v>9.505013999999999</v>
      </c>
      <c r="K6" s="19" t="n">
        <v>9.3872</v>
      </c>
      <c r="L6" s="19" t="n">
        <v>9.528587999999999</v>
      </c>
      <c r="M6" s="19" t="n">
        <v>9.450654</v>
      </c>
      <c r="N6" s="19" t="n">
        <v>9.515574000000001</v>
      </c>
      <c r="O6" s="19" t="n">
        <v>-0.126907</v>
      </c>
      <c r="P6" s="28" t="n">
        <v>2</v>
      </c>
      <c r="Q6" s="30" t="n">
        <v>15.33576</v>
      </c>
      <c r="R6" s="19" t="n">
        <v>54.371071</v>
      </c>
      <c r="S6" s="19" t="n">
        <v>54.6324</v>
      </c>
      <c r="T6" s="19" t="n">
        <v>1.982943</v>
      </c>
      <c r="U6" s="29" t="n">
        <v>3.647055</v>
      </c>
      <c r="V6" s="29" t="n">
        <v>57.31584</v>
      </c>
      <c r="W6" s="29" t="n">
        <v>56.01936</v>
      </c>
      <c r="X6" s="29" t="n">
        <v>53.535258</v>
      </c>
      <c r="Y6" s="30" t="n">
        <v>185.576208</v>
      </c>
      <c r="Z6" s="31" t="n">
        <v>2.807587</v>
      </c>
      <c r="AA6" s="19" t="n">
        <v>44.920417</v>
      </c>
      <c r="AB6" s="19" t="n">
        <v>45.116826</v>
      </c>
      <c r="AC6" s="29" t="n">
        <v>1156</v>
      </c>
      <c r="AD6" s="18" t="n">
        <v>7.211212</v>
      </c>
    </row>
    <row r="7">
      <c r="A7" s="2" t="inlineStr">
        <is>
          <t>ALT (31.0.101.2115)</t>
        </is>
      </c>
      <c r="B7" s="28" t="n">
        <v>6</v>
      </c>
      <c r="C7" s="29" t="n">
        <v>26.722806</v>
      </c>
      <c r="D7" s="30" t="n">
        <v>185.854809</v>
      </c>
      <c r="E7" s="30" t="n">
        <v>306.765103</v>
      </c>
      <c r="F7" s="2" t="inlineStr">
        <is>
          <t>ja</t>
        </is>
      </c>
      <c r="G7" s="2" t="inlineStr">
        <is>
          <t>nein</t>
        </is>
      </c>
      <c r="H7" s="2" t="inlineStr">
        <is>
          <t>ja</t>
        </is>
      </c>
      <c r="I7" s="19" t="n">
        <v>9.385517999999999</v>
      </c>
      <c r="J7" s="19" t="n">
        <v>9.50328</v>
      </c>
      <c r="K7" s="19" t="n">
        <v>9.341881000000001</v>
      </c>
      <c r="L7" s="19" t="n">
        <v>9.450322</v>
      </c>
      <c r="M7" s="19" t="n">
        <v>9.363699</v>
      </c>
      <c r="N7" s="19" t="n">
        <v>9.477442</v>
      </c>
      <c r="O7" s="19" t="n">
        <v>-0.043638</v>
      </c>
      <c r="P7" s="28" t="n">
        <v>0</v>
      </c>
      <c r="Q7" s="30" t="n">
        <v>12.268828</v>
      </c>
      <c r="R7" s="19" t="n">
        <v>54.354964</v>
      </c>
      <c r="S7" s="19" t="n">
        <v>54.5832</v>
      </c>
      <c r="T7" s="19" t="n">
        <v>1.913094</v>
      </c>
      <c r="U7" s="29" t="n">
        <v>3.519632</v>
      </c>
      <c r="V7" s="29" t="n">
        <v>56.8944</v>
      </c>
      <c r="W7" s="29" t="n">
        <v>55.390234</v>
      </c>
      <c r="X7" s="29" t="n">
        <v>54.843888</v>
      </c>
      <c r="Y7" s="30" t="n">
        <v>185.854809</v>
      </c>
      <c r="Z7" s="31" t="n">
        <v>2.808917</v>
      </c>
      <c r="AA7" s="19" t="n">
        <v>44.991264</v>
      </c>
      <c r="AB7" s="19" t="n">
        <v>45.105757</v>
      </c>
      <c r="AC7" s="29" t="n">
        <v>1161</v>
      </c>
      <c r="AD7" s="18" t="n">
        <v>7.202276</v>
      </c>
    </row>
    <row r="8">
      <c r="A8" s="2" t="inlineStr">
        <is>
          <t>ALT (31.0.101.2115)</t>
        </is>
      </c>
      <c r="B8" s="28" t="n">
        <v>7</v>
      </c>
      <c r="C8" s="29" t="n">
        <v>31.857685</v>
      </c>
      <c r="D8" s="30" t="n">
        <v>185.962571</v>
      </c>
      <c r="E8" s="30" t="n">
        <v>308.092721</v>
      </c>
      <c r="F8" s="2" t="inlineStr">
        <is>
          <t>ja</t>
        </is>
      </c>
      <c r="G8" s="2" t="inlineStr">
        <is>
          <t>nein</t>
        </is>
      </c>
      <c r="H8" s="2" t="inlineStr">
        <is>
          <t>ja</t>
        </is>
      </c>
      <c r="I8" s="19" t="n">
        <v>9.478637000000001</v>
      </c>
      <c r="J8" s="19" t="n">
        <v>9.3026</v>
      </c>
      <c r="K8" s="19" t="n">
        <v>8.916166</v>
      </c>
      <c r="L8" s="19" t="n">
        <v>9.052803000000001</v>
      </c>
      <c r="M8" s="19" t="n">
        <v>9.197400999999999</v>
      </c>
      <c r="N8" s="19" t="n">
        <v>9.234192</v>
      </c>
      <c r="O8" s="19" t="n">
        <v>-0.5624710000000001</v>
      </c>
      <c r="P8" s="28" t="n">
        <v>1</v>
      </c>
      <c r="Q8" s="30" t="n">
        <v>13.824965</v>
      </c>
      <c r="R8" s="19" t="n">
        <v>53.825072</v>
      </c>
      <c r="S8" s="19" t="n">
        <v>54.031959</v>
      </c>
      <c r="T8" s="19" t="n">
        <v>1.778526</v>
      </c>
      <c r="U8" s="29" t="n">
        <v>3.30427</v>
      </c>
      <c r="V8" s="29" t="n">
        <v>55.997796</v>
      </c>
      <c r="W8" s="29" t="n">
        <v>54.962208</v>
      </c>
      <c r="X8" s="29" t="n">
        <v>53.2896</v>
      </c>
      <c r="Y8" s="30" t="n">
        <v>185.962571</v>
      </c>
      <c r="Z8" s="31" t="n">
        <v>2.784781</v>
      </c>
      <c r="AA8" s="19" t="n">
        <v>44.62767</v>
      </c>
      <c r="AB8" s="19" t="n">
        <v>44.797767</v>
      </c>
      <c r="AC8" s="29" t="n">
        <v>1133</v>
      </c>
      <c r="AD8" s="18" t="n">
        <v>7.324869</v>
      </c>
    </row>
    <row r="9">
      <c r="A9" s="2" t="inlineStr">
        <is>
          <t>ALT (31.0.101.2115)</t>
        </is>
      </c>
      <c r="B9" s="28" t="n">
        <v>8</v>
      </c>
      <c r="C9" s="29" t="n">
        <v>36.977843</v>
      </c>
      <c r="D9" s="30" t="n">
        <v>185.676582</v>
      </c>
      <c r="E9" s="30" t="n">
        <v>307.20953</v>
      </c>
      <c r="F9" s="2" t="inlineStr">
        <is>
          <t>ja</t>
        </is>
      </c>
      <c r="G9" s="2" t="inlineStr">
        <is>
          <t>nein</t>
        </is>
      </c>
      <c r="H9" s="2" t="inlineStr">
        <is>
          <t>ja</t>
        </is>
      </c>
      <c r="I9" s="19" t="n">
        <v>9.237428</v>
      </c>
      <c r="J9" s="19" t="n">
        <v>9.176971999999999</v>
      </c>
      <c r="K9" s="19" t="n">
        <v>9.2491</v>
      </c>
      <c r="L9" s="19" t="n">
        <v>9.197279999999999</v>
      </c>
      <c r="M9" s="19" t="n">
        <v>9.243264</v>
      </c>
      <c r="N9" s="19" t="n">
        <v>9.187200000000001</v>
      </c>
      <c r="O9" s="19" t="n">
        <v>0.011672</v>
      </c>
      <c r="P9" s="28" t="n">
        <v>7</v>
      </c>
      <c r="Q9" s="30" t="n">
        <v>15.29808</v>
      </c>
      <c r="R9" s="19" t="n">
        <v>54.178304</v>
      </c>
      <c r="S9" s="19" t="n">
        <v>54.4258</v>
      </c>
      <c r="T9" s="19" t="n">
        <v>1.75696</v>
      </c>
      <c r="U9" s="29" t="n">
        <v>3.242922</v>
      </c>
      <c r="V9" s="29" t="n">
        <v>56.59776</v>
      </c>
      <c r="W9" s="29" t="n">
        <v>55.449252</v>
      </c>
      <c r="X9" s="29" t="n">
        <v>54.571968</v>
      </c>
      <c r="Y9" s="30" t="n">
        <v>185.676582</v>
      </c>
      <c r="Z9" s="31" t="n">
        <v>2.798485</v>
      </c>
      <c r="AA9" s="19" t="n">
        <v>44.93504</v>
      </c>
      <c r="AB9" s="19" t="n">
        <v>45.2386</v>
      </c>
      <c r="AC9" s="29" t="n">
        <v>1156</v>
      </c>
      <c r="AD9" s="18" t="n">
        <v>7.217461</v>
      </c>
    </row>
    <row r="10">
      <c r="A10" s="2" t="inlineStr">
        <is>
          <t>ALT (31.0.101.2115)</t>
        </is>
      </c>
      <c r="B10" s="28" t="n">
        <v>9</v>
      </c>
      <c r="C10" s="29" t="n">
        <v>42.096342</v>
      </c>
      <c r="D10" s="30" t="n">
        <v>185.840721</v>
      </c>
      <c r="E10" s="30" t="n">
        <v>307.10989</v>
      </c>
      <c r="F10" s="2" t="inlineStr">
        <is>
          <t>ja</t>
        </is>
      </c>
      <c r="G10" s="2" t="inlineStr">
        <is>
          <t>nein</t>
        </is>
      </c>
      <c r="H10" s="2" t="inlineStr">
        <is>
          <t>ja</t>
        </is>
      </c>
      <c r="I10" s="19" t="n">
        <v>8.916174</v>
      </c>
      <c r="J10" s="19" t="n">
        <v>8.983560000000001</v>
      </c>
      <c r="K10" s="19" t="n">
        <v>9.259862</v>
      </c>
      <c r="L10" s="19" t="n">
        <v>9.13968</v>
      </c>
      <c r="M10" s="19" t="n">
        <v>9.088018</v>
      </c>
      <c r="N10" s="19" t="n">
        <v>9.078720000000001</v>
      </c>
      <c r="O10" s="19" t="n">
        <v>0.343688</v>
      </c>
      <c r="P10" s="28" t="n">
        <v>3</v>
      </c>
      <c r="Q10" s="30" t="n">
        <v>16.512</v>
      </c>
      <c r="R10" s="19" t="n">
        <v>54.085593</v>
      </c>
      <c r="S10" s="19" t="n">
        <v>54.227188</v>
      </c>
      <c r="T10" s="19" t="n">
        <v>1.279128</v>
      </c>
      <c r="U10" s="29" t="n">
        <v>2.365006</v>
      </c>
      <c r="V10" s="29" t="n">
        <v>56.15136</v>
      </c>
      <c r="W10" s="29" t="n">
        <v>55.260344</v>
      </c>
      <c r="X10" s="29" t="n">
        <v>53.352</v>
      </c>
      <c r="Y10" s="30" t="n">
        <v>185.840721</v>
      </c>
      <c r="Z10" s="31" t="n">
        <v>2.793507</v>
      </c>
      <c r="AA10" s="19" t="n">
        <v>44.997575</v>
      </c>
      <c r="AB10" s="19" t="n">
        <v>45.148468</v>
      </c>
      <c r="AC10" s="29" t="n">
        <v>1149</v>
      </c>
      <c r="AD10" s="18" t="n">
        <v>7.277965</v>
      </c>
    </row>
    <row r="11">
      <c r="A11" s="2" t="inlineStr">
        <is>
          <t>ALT (31.0.101.2115)</t>
        </is>
      </c>
      <c r="B11" s="28" t="n">
        <v>10</v>
      </c>
      <c r="C11" s="29" t="n">
        <v>47.199408</v>
      </c>
      <c r="D11" s="30" t="n">
        <v>185.847266</v>
      </c>
      <c r="E11" s="30" t="n">
        <v>306.183954</v>
      </c>
      <c r="F11" s="2" t="inlineStr">
        <is>
          <t>ja</t>
        </is>
      </c>
      <c r="G11" s="2" t="inlineStr">
        <is>
          <t>nein</t>
        </is>
      </c>
      <c r="H11" s="2" t="inlineStr">
        <is>
          <t>ja</t>
        </is>
      </c>
      <c r="I11" s="19" t="n">
        <v>9.332763999999999</v>
      </c>
      <c r="J11" s="19" t="n">
        <v>9.33792</v>
      </c>
      <c r="K11" s="19" t="n">
        <v>9.093984000000001</v>
      </c>
      <c r="L11" s="19" t="n">
        <v>9.167123</v>
      </c>
      <c r="M11" s="19" t="n">
        <v>9.213374</v>
      </c>
      <c r="N11" s="19" t="n">
        <v>9.224880000000001</v>
      </c>
      <c r="O11" s="19" t="n">
        <v>-0.23878</v>
      </c>
      <c r="P11" s="28" t="n">
        <v>3</v>
      </c>
      <c r="Q11" s="30" t="n">
        <v>14.933565</v>
      </c>
      <c r="R11" s="19" t="n">
        <v>54.163098</v>
      </c>
      <c r="S11" s="19" t="n">
        <v>54.45408</v>
      </c>
      <c r="T11" s="19" t="n">
        <v>1.67941</v>
      </c>
      <c r="U11" s="29" t="n">
        <v>3.100653</v>
      </c>
      <c r="V11" s="29" t="n">
        <v>56.8296</v>
      </c>
      <c r="W11" s="29" t="n">
        <v>55.119312</v>
      </c>
      <c r="X11" s="29" t="n">
        <v>54.289806</v>
      </c>
      <c r="Y11" s="30" t="n">
        <v>185.847266</v>
      </c>
      <c r="Z11" s="31" t="n">
        <v>2.798464</v>
      </c>
      <c r="AA11" s="19" t="n">
        <v>44.949724</v>
      </c>
      <c r="AB11" s="19" t="n">
        <v>45.2292</v>
      </c>
      <c r="AC11" s="29" t="n">
        <v>1161</v>
      </c>
      <c r="AD11" s="18" t="n">
        <v>7.195335</v>
      </c>
    </row>
    <row r="12">
      <c r="A12" s="2" t="inlineStr">
        <is>
          <t>MITTEL (31.0.101.2135)</t>
        </is>
      </c>
      <c r="B12" s="28" t="n">
        <v>1</v>
      </c>
      <c r="C12" s="29" t="n">
        <v>1.142831</v>
      </c>
      <c r="D12" s="30" t="n">
        <v>186.62488</v>
      </c>
      <c r="E12" s="30" t="n"/>
      <c r="F12" s="2" t="inlineStr">
        <is>
          <t>ja</t>
        </is>
      </c>
      <c r="G12" s="2" t="inlineStr">
        <is>
          <t>nein</t>
        </is>
      </c>
      <c r="H12" s="2" t="inlineStr">
        <is>
          <t>ja</t>
        </is>
      </c>
      <c r="I12" s="19" t="n">
        <v>10.651241</v>
      </c>
      <c r="J12" s="19" t="n">
        <v>8.42568</v>
      </c>
      <c r="K12" s="19" t="n">
        <v>7.742854</v>
      </c>
      <c r="L12" s="19" t="n">
        <v>7.51212</v>
      </c>
      <c r="M12" s="19" t="n">
        <v>9.197047</v>
      </c>
      <c r="N12" s="19" t="n">
        <v>7.876072</v>
      </c>
      <c r="O12" s="19" t="n">
        <v>-2.908387</v>
      </c>
      <c r="P12" s="28" t="n">
        <v>3</v>
      </c>
      <c r="Q12" s="30" t="n">
        <v>35.18319</v>
      </c>
      <c r="R12" s="19" t="n">
        <v>52.90871</v>
      </c>
      <c r="S12" s="19" t="n">
        <v>53.10648</v>
      </c>
      <c r="T12" s="19" t="n">
        <v>1.670382</v>
      </c>
      <c r="U12" s="29" t="n">
        <v>3.157103</v>
      </c>
      <c r="V12" s="29" t="n">
        <v>63.65184</v>
      </c>
      <c r="W12" s="29" t="n">
        <v>54.45408</v>
      </c>
      <c r="X12" s="29" t="n">
        <v>51.52896</v>
      </c>
      <c r="Y12" s="30" t="n">
        <v>186.62488</v>
      </c>
      <c r="Z12" s="31" t="n">
        <v>2.745257</v>
      </c>
      <c r="AA12" s="19" t="n">
        <v>43.711663</v>
      </c>
      <c r="AB12" s="19" t="n">
        <v>45.230408</v>
      </c>
      <c r="AC12" s="29" t="n">
        <v>951</v>
      </c>
      <c r="AD12" s="18" t="n">
        <v>8.578006</v>
      </c>
    </row>
    <row r="13">
      <c r="A13" s="2" t="inlineStr">
        <is>
          <t>MITTEL (31.0.101.2135)</t>
        </is>
      </c>
      <c r="B13" s="28" t="n">
        <v>2</v>
      </c>
      <c r="C13" s="29" t="n">
        <v>6.271573</v>
      </c>
      <c r="D13" s="30" t="n">
        <v>187.626507</v>
      </c>
      <c r="E13" s="30" t="n">
        <v>307.724556</v>
      </c>
      <c r="F13" s="2" t="inlineStr">
        <is>
          <t>ja</t>
        </is>
      </c>
      <c r="G13" s="2" t="inlineStr">
        <is>
          <t>ja</t>
        </is>
      </c>
      <c r="H13" s="2" t="inlineStr">
        <is>
          <t>ja</t>
        </is>
      </c>
      <c r="I13" s="19" t="n">
        <v>8.150762</v>
      </c>
      <c r="J13" s="19" t="n">
        <v>7.60464</v>
      </c>
      <c r="K13" s="19" t="n">
        <v>10.821391</v>
      </c>
      <c r="L13" s="19" t="n">
        <v>8.795018000000001</v>
      </c>
      <c r="M13" s="19" t="n">
        <v>9.486077</v>
      </c>
      <c r="N13" s="19" t="n">
        <v>8.261991</v>
      </c>
      <c r="O13" s="19" t="n">
        <v>2.670629</v>
      </c>
      <c r="P13" s="28" t="n">
        <v>3</v>
      </c>
      <c r="Q13" s="30" t="n">
        <v>40.764318</v>
      </c>
      <c r="R13" s="19" t="n">
        <v>52.904609</v>
      </c>
      <c r="S13" s="19" t="n">
        <v>53.152644</v>
      </c>
      <c r="T13" s="19" t="n">
        <v>2.291365</v>
      </c>
      <c r="U13" s="29" t="n">
        <v>4.331125</v>
      </c>
      <c r="V13" s="29" t="n">
        <v>57.67152</v>
      </c>
      <c r="W13" s="29" t="n">
        <v>54.650164</v>
      </c>
      <c r="X13" s="29" t="n">
        <v>51.964336</v>
      </c>
      <c r="Y13" s="30" t="n">
        <v>187.626507</v>
      </c>
      <c r="Z13" s="31" t="n">
        <v>2.76278</v>
      </c>
      <c r="AA13" s="19" t="n">
        <v>43.418532</v>
      </c>
      <c r="AB13" s="19" t="n">
        <v>44.890653</v>
      </c>
      <c r="AC13" s="29" t="n">
        <v>938</v>
      </c>
      <c r="AD13" s="18" t="n">
        <v>8.684932999999999</v>
      </c>
    </row>
    <row r="14">
      <c r="A14" s="2" t="inlineStr">
        <is>
          <t>MITTEL (31.0.101.2135)</t>
        </is>
      </c>
      <c r="B14" s="28" t="n">
        <v>3</v>
      </c>
      <c r="C14" s="29" t="n">
        <v>11.415525</v>
      </c>
      <c r="D14" s="30" t="n">
        <v>185.73344</v>
      </c>
      <c r="E14" s="30" t="n">
        <v>308.637112</v>
      </c>
      <c r="F14" s="2" t="inlineStr">
        <is>
          <t>ja</t>
        </is>
      </c>
      <c r="G14" s="2" t="inlineStr">
        <is>
          <t>nein</t>
        </is>
      </c>
      <c r="H14" s="2" t="inlineStr">
        <is>
          <t>ja</t>
        </is>
      </c>
      <c r="I14" s="19" t="n">
        <v>8.140231</v>
      </c>
      <c r="J14" s="19" t="n">
        <v>7.94136</v>
      </c>
      <c r="K14" s="19" t="n">
        <v>8.387759000000001</v>
      </c>
      <c r="L14" s="19" t="n">
        <v>8.157959999999999</v>
      </c>
      <c r="M14" s="19" t="n">
        <v>8.263995</v>
      </c>
      <c r="N14" s="19" t="n">
        <v>8.0784</v>
      </c>
      <c r="O14" s="19" t="n">
        <v>0.247527</v>
      </c>
      <c r="P14" s="28" t="n">
        <v>2</v>
      </c>
      <c r="Q14" s="30" t="n">
        <v>13.56864</v>
      </c>
      <c r="R14" s="19" t="n">
        <v>53.366874</v>
      </c>
      <c r="S14" s="19" t="n">
        <v>53.43696</v>
      </c>
      <c r="T14" s="19" t="n">
        <v>2.134197</v>
      </c>
      <c r="U14" s="29" t="n">
        <v>3.999104</v>
      </c>
      <c r="V14" s="29" t="n">
        <v>61.944</v>
      </c>
      <c r="W14" s="29" t="n">
        <v>55.185296</v>
      </c>
      <c r="X14" s="29" t="n">
        <v>53.090982</v>
      </c>
      <c r="Y14" s="30" t="n">
        <v>185.73344</v>
      </c>
      <c r="Z14" s="31" t="n">
        <v>2.757988</v>
      </c>
      <c r="AA14" s="19" t="n">
        <v>45.102879</v>
      </c>
      <c r="AB14" s="19" t="n">
        <v>45.35856</v>
      </c>
      <c r="AC14" s="29" t="n">
        <v>957</v>
      </c>
      <c r="AD14" s="18" t="n">
        <v>8.753513999999999</v>
      </c>
    </row>
    <row r="15">
      <c r="A15" s="2" t="inlineStr">
        <is>
          <t>MITTEL (31.0.101.2135)</t>
        </is>
      </c>
      <c r="B15" s="28" t="n">
        <v>4</v>
      </c>
      <c r="C15" s="29" t="n">
        <v>16.547327</v>
      </c>
      <c r="D15" s="30" t="n">
        <v>185.813035</v>
      </c>
      <c r="E15" s="30" t="n">
        <v>307.908093</v>
      </c>
      <c r="F15" s="2" t="inlineStr">
        <is>
          <t>ja</t>
        </is>
      </c>
      <c r="G15" s="2" t="inlineStr">
        <is>
          <t>nein</t>
        </is>
      </c>
      <c r="H15" s="2" t="inlineStr">
        <is>
          <t>ja</t>
        </is>
      </c>
      <c r="I15" s="19" t="n">
        <v>7.891929</v>
      </c>
      <c r="J15" s="19" t="n">
        <v>7.84836</v>
      </c>
      <c r="K15" s="19" t="n">
        <v>8.344662</v>
      </c>
      <c r="L15" s="19" t="n">
        <v>8.188578</v>
      </c>
      <c r="M15" s="19" t="n">
        <v>8.118296000000001</v>
      </c>
      <c r="N15" s="19" t="n">
        <v>8.018432000000001</v>
      </c>
      <c r="O15" s="19" t="n">
        <v>0.452733</v>
      </c>
      <c r="P15" s="28" t="n">
        <v>1</v>
      </c>
      <c r="Q15" s="30" t="n">
        <v>13.2192</v>
      </c>
      <c r="R15" s="19" t="n">
        <v>53.15146</v>
      </c>
      <c r="S15" s="19" t="n">
        <v>53.39544</v>
      </c>
      <c r="T15" s="19" t="n">
        <v>1.738188</v>
      </c>
      <c r="U15" s="29" t="n">
        <v>3.270254</v>
      </c>
      <c r="V15" s="29" t="n">
        <v>55.62144</v>
      </c>
      <c r="W15" s="29" t="n">
        <v>54.512928</v>
      </c>
      <c r="X15" s="29" t="n">
        <v>51.83136</v>
      </c>
      <c r="Y15" s="30" t="n">
        <v>185.813035</v>
      </c>
      <c r="Z15" s="31" t="n">
        <v>2.74756</v>
      </c>
      <c r="AA15" s="19" t="n">
        <v>45.033164</v>
      </c>
      <c r="AB15" s="19" t="n">
        <v>45.377009</v>
      </c>
      <c r="AC15" s="29" t="n">
        <v>976</v>
      </c>
      <c r="AD15" s="18" t="n">
        <v>8.573513</v>
      </c>
    </row>
    <row r="16">
      <c r="A16" s="2" t="inlineStr">
        <is>
          <t>MITTEL (31.0.101.2135)</t>
        </is>
      </c>
      <c r="B16" s="28" t="n">
        <v>5</v>
      </c>
      <c r="C16" s="29" t="n">
        <v>21.659985</v>
      </c>
      <c r="D16" s="30" t="n">
        <v>185.649687</v>
      </c>
      <c r="E16" s="30" t="n">
        <v>306.7595</v>
      </c>
      <c r="F16" s="2" t="inlineStr">
        <is>
          <t>ja</t>
        </is>
      </c>
      <c r="G16" s="2" t="inlineStr">
        <is>
          <t>nein</t>
        </is>
      </c>
      <c r="H16" s="2" t="inlineStr">
        <is>
          <t>ja</t>
        </is>
      </c>
      <c r="I16" s="19" t="n">
        <v>7.9202</v>
      </c>
      <c r="J16" s="19" t="n">
        <v>7.78428</v>
      </c>
      <c r="K16" s="19" t="n">
        <v>8.659236999999999</v>
      </c>
      <c r="L16" s="19" t="n">
        <v>8.588035</v>
      </c>
      <c r="M16" s="19" t="n">
        <v>8.289718000000001</v>
      </c>
      <c r="N16" s="19" t="n">
        <v>8.133027</v>
      </c>
      <c r="O16" s="19" t="n">
        <v>0.7390370000000001</v>
      </c>
      <c r="P16" s="28" t="n">
        <v>0</v>
      </c>
      <c r="Q16" s="30" t="n">
        <v>13.24896</v>
      </c>
      <c r="R16" s="19" t="n">
        <v>53.14168</v>
      </c>
      <c r="S16" s="19" t="n">
        <v>53.37504</v>
      </c>
      <c r="T16" s="19" t="n">
        <v>1.545828</v>
      </c>
      <c r="U16" s="29" t="n">
        <v>2.908881</v>
      </c>
      <c r="V16" s="29" t="n">
        <v>55.56672</v>
      </c>
      <c r="W16" s="29" t="n">
        <v>54.5194</v>
      </c>
      <c r="X16" s="29" t="n">
        <v>52.24272</v>
      </c>
      <c r="Y16" s="30" t="n">
        <v>185.649687</v>
      </c>
      <c r="Z16" s="31" t="n">
        <v>2.742627</v>
      </c>
      <c r="AA16" s="19" t="n">
        <v>44.851961</v>
      </c>
      <c r="AB16" s="19" t="n">
        <v>45.242013</v>
      </c>
      <c r="AC16" s="29" t="n">
        <v>963</v>
      </c>
      <c r="AD16" s="18" t="n">
        <v>8.64668</v>
      </c>
    </row>
    <row r="17">
      <c r="A17" s="2" t="inlineStr">
        <is>
          <t>MITTEL (31.0.101.2135)</t>
        </is>
      </c>
      <c r="B17" s="28" t="n">
        <v>6</v>
      </c>
      <c r="C17" s="29" t="n">
        <v>26.789333</v>
      </c>
      <c r="D17" s="30" t="n">
        <v>185.729877</v>
      </c>
      <c r="E17" s="30" t="n">
        <v>307.760867</v>
      </c>
      <c r="F17" s="2" t="inlineStr">
        <is>
          <t>ja</t>
        </is>
      </c>
      <c r="G17" s="2" t="inlineStr">
        <is>
          <t>nein</t>
        </is>
      </c>
      <c r="H17" s="2" t="inlineStr">
        <is>
          <t>ja</t>
        </is>
      </c>
      <c r="I17" s="19" t="n">
        <v>8.081882</v>
      </c>
      <c r="J17" s="19" t="n">
        <v>8.080247999999999</v>
      </c>
      <c r="K17" s="19" t="n">
        <v>7.937385</v>
      </c>
      <c r="L17" s="19" t="n">
        <v>7.637742</v>
      </c>
      <c r="M17" s="19" t="n">
        <v>8.009634</v>
      </c>
      <c r="N17" s="19" t="n">
        <v>8.017708000000001</v>
      </c>
      <c r="O17" s="19" t="n">
        <v>-0.144497</v>
      </c>
      <c r="P17" s="28" t="n">
        <v>1</v>
      </c>
      <c r="Q17" s="30" t="n">
        <v>14.255873</v>
      </c>
      <c r="R17" s="19" t="n">
        <v>53.224609</v>
      </c>
      <c r="S17" s="19" t="n">
        <v>53.43192</v>
      </c>
      <c r="T17" s="19" t="n">
        <v>1.930704</v>
      </c>
      <c r="U17" s="29" t="n">
        <v>3.627466</v>
      </c>
      <c r="V17" s="29" t="n">
        <v>60.99228</v>
      </c>
      <c r="W17" s="29" t="n">
        <v>55.069032</v>
      </c>
      <c r="X17" s="29" t="n">
        <v>52.215542</v>
      </c>
      <c r="Y17" s="30" t="n">
        <v>185.729877</v>
      </c>
      <c r="Z17" s="31" t="n">
        <v>2.75009</v>
      </c>
      <c r="AA17" s="19" t="n">
        <v>45.214975</v>
      </c>
      <c r="AB17" s="19" t="n">
        <v>45.414212</v>
      </c>
      <c r="AC17" s="29" t="n">
        <v>959</v>
      </c>
      <c r="AD17" s="18" t="n">
        <v>8.756800999999999</v>
      </c>
    </row>
    <row r="18">
      <c r="A18" s="2" t="inlineStr">
        <is>
          <t>MITTEL (31.0.101.2135)</t>
        </is>
      </c>
      <c r="B18" s="28" t="n">
        <v>7</v>
      </c>
      <c r="C18" s="29" t="n">
        <v>31.921341</v>
      </c>
      <c r="D18" s="30" t="n">
        <v>185.993796</v>
      </c>
      <c r="E18" s="30" t="n">
        <v>307.920471</v>
      </c>
      <c r="F18" s="2" t="inlineStr">
        <is>
          <t>ja</t>
        </is>
      </c>
      <c r="G18" s="2" t="inlineStr">
        <is>
          <t>nein</t>
        </is>
      </c>
      <c r="H18" s="2" t="inlineStr">
        <is>
          <t>ja</t>
        </is>
      </c>
      <c r="I18" s="19" t="n">
        <v>7.898133</v>
      </c>
      <c r="J18" s="19" t="n">
        <v>7.881664</v>
      </c>
      <c r="K18" s="19" t="n">
        <v>7.899253</v>
      </c>
      <c r="L18" s="19" t="n">
        <v>7.666812</v>
      </c>
      <c r="M18" s="19" t="n">
        <v>7.898693</v>
      </c>
      <c r="N18" s="19" t="n">
        <v>7.75779</v>
      </c>
      <c r="O18" s="19" t="n">
        <v>0.00112</v>
      </c>
      <c r="P18" s="28" t="n">
        <v>0</v>
      </c>
      <c r="Q18" s="30" t="n">
        <v>12.64896</v>
      </c>
      <c r="R18" s="19" t="n">
        <v>53.051459</v>
      </c>
      <c r="S18" s="19" t="n">
        <v>53.3532</v>
      </c>
      <c r="T18" s="19" t="n">
        <v>1.841118</v>
      </c>
      <c r="U18" s="29" t="n">
        <v>3.470438</v>
      </c>
      <c r="V18" s="29" t="n">
        <v>55.724502</v>
      </c>
      <c r="W18" s="29" t="n">
        <v>54.170848</v>
      </c>
      <c r="X18" s="29" t="n">
        <v>51.72</v>
      </c>
      <c r="Y18" s="30" t="n">
        <v>185.993796</v>
      </c>
      <c r="Z18" s="31" t="n">
        <v>2.74531</v>
      </c>
      <c r="AA18" s="19" t="n">
        <v>45.152766</v>
      </c>
      <c r="AB18" s="19" t="n">
        <v>45.59541</v>
      </c>
      <c r="AC18" s="29" t="n">
        <v>948</v>
      </c>
      <c r="AD18" s="18" t="n">
        <v>8.858791999999999</v>
      </c>
    </row>
    <row r="19">
      <c r="A19" s="2" t="inlineStr">
        <is>
          <t>MITTEL (31.0.101.2135)</t>
        </is>
      </c>
      <c r="B19" s="28" t="n">
        <v>8</v>
      </c>
      <c r="C19" s="29" t="n">
        <v>37.0583</v>
      </c>
      <c r="D19" s="30" t="n">
        <v>184.695134</v>
      </c>
      <c r="E19" s="30" t="n">
        <v>308.217541</v>
      </c>
      <c r="F19" s="2" t="inlineStr">
        <is>
          <t>ja</t>
        </is>
      </c>
      <c r="G19" s="2" t="inlineStr">
        <is>
          <t>nein</t>
        </is>
      </c>
      <c r="H19" s="2" t="inlineStr">
        <is>
          <t>ja</t>
        </is>
      </c>
      <c r="I19" s="19" t="n">
        <v>7.755428</v>
      </c>
      <c r="J19" s="19" t="n">
        <v>7.881532</v>
      </c>
      <c r="K19" s="19" t="n">
        <v>8.346672</v>
      </c>
      <c r="L19" s="19" t="n">
        <v>8.407888</v>
      </c>
      <c r="M19" s="19" t="n">
        <v>8.05105</v>
      </c>
      <c r="N19" s="19" t="n">
        <v>8.111819000000001</v>
      </c>
      <c r="O19" s="19" t="n">
        <v>0.591244</v>
      </c>
      <c r="P19" s="28" t="n">
        <v>2</v>
      </c>
      <c r="Q19" s="30" t="n">
        <v>13.020084</v>
      </c>
      <c r="R19" s="19" t="n">
        <v>53.109639</v>
      </c>
      <c r="S19" s="19" t="n">
        <v>53.26582</v>
      </c>
      <c r="T19" s="19" t="n">
        <v>1.233506</v>
      </c>
      <c r="U19" s="29" t="n">
        <v>2.322566</v>
      </c>
      <c r="V19" s="29" t="n">
        <v>55.243225</v>
      </c>
      <c r="W19" s="29" t="n">
        <v>54.211227</v>
      </c>
      <c r="X19" s="29" t="n">
        <v>52.175295</v>
      </c>
      <c r="Y19" s="30" t="n">
        <v>184.695134</v>
      </c>
      <c r="Z19" s="31" t="n">
        <v>2.726278</v>
      </c>
      <c r="AA19" s="19" t="n">
        <v>45.058588</v>
      </c>
      <c r="AB19" s="19" t="n">
        <v>45.154001</v>
      </c>
      <c r="AC19" s="29" t="n">
        <v>972</v>
      </c>
      <c r="AD19" s="18" t="n">
        <v>8.561833</v>
      </c>
    </row>
    <row r="20">
      <c r="A20" s="2" t="inlineStr">
        <is>
          <t>MITTEL (31.0.101.2135)</t>
        </is>
      </c>
      <c r="B20" s="28" t="n">
        <v>9</v>
      </c>
      <c r="C20" s="29" t="n">
        <v>42.17429</v>
      </c>
      <c r="D20" s="30" t="n">
        <v>185.791259</v>
      </c>
      <c r="E20" s="30" t="n">
        <v>306.959437</v>
      </c>
      <c r="F20" s="2" t="inlineStr">
        <is>
          <t>ja</t>
        </is>
      </c>
      <c r="G20" s="2" t="inlineStr">
        <is>
          <t>nein</t>
        </is>
      </c>
      <c r="H20" s="2" t="inlineStr">
        <is>
          <t>ja</t>
        </is>
      </c>
      <c r="I20" s="19" t="n">
        <v>7.941778</v>
      </c>
      <c r="J20" s="19" t="n">
        <v>7.712482</v>
      </c>
      <c r="K20" s="19" t="n">
        <v>7.918632</v>
      </c>
      <c r="L20" s="19" t="n">
        <v>7.788288</v>
      </c>
      <c r="M20" s="19" t="n">
        <v>7.930205</v>
      </c>
      <c r="N20" s="19" t="n">
        <v>7.728147</v>
      </c>
      <c r="O20" s="19" t="n">
        <v>-0.023146</v>
      </c>
      <c r="P20" s="28" t="n">
        <v>2</v>
      </c>
      <c r="Q20" s="30" t="n">
        <v>14.4096</v>
      </c>
      <c r="R20" s="19" t="n">
        <v>53.140264</v>
      </c>
      <c r="S20" s="19" t="n">
        <v>53.430664</v>
      </c>
      <c r="T20" s="19" t="n">
        <v>1.855495</v>
      </c>
      <c r="U20" s="29" t="n">
        <v>3.491694</v>
      </c>
      <c r="V20" s="29" t="n">
        <v>55.947427</v>
      </c>
      <c r="W20" s="29" t="n">
        <v>54.730752</v>
      </c>
      <c r="X20" s="29" t="n">
        <v>53.47308</v>
      </c>
      <c r="Y20" s="30" t="n">
        <v>185.791259</v>
      </c>
      <c r="Z20" s="31" t="n">
        <v>2.746888</v>
      </c>
      <c r="AA20" s="19" t="n">
        <v>45.210059</v>
      </c>
      <c r="AB20" s="19" t="n">
        <v>45.702517</v>
      </c>
      <c r="AC20" s="29" t="n">
        <v>962</v>
      </c>
      <c r="AD20" s="18" t="n">
        <v>8.731427999999999</v>
      </c>
    </row>
    <row r="21">
      <c r="A21" s="2" t="inlineStr">
        <is>
          <t>MITTEL (31.0.101.2135)</t>
        </is>
      </c>
      <c r="B21" s="28" t="n">
        <v>10</v>
      </c>
      <c r="C21" s="29" t="n">
        <v>47.293105</v>
      </c>
      <c r="D21" s="30" t="n">
        <v>186.725201</v>
      </c>
      <c r="E21" s="30" t="n">
        <v>307.128871</v>
      </c>
      <c r="F21" s="2" t="inlineStr">
        <is>
          <t>ja</t>
        </is>
      </c>
      <c r="G21" s="2" t="inlineStr">
        <is>
          <t>nein</t>
        </is>
      </c>
      <c r="H21" s="2" t="inlineStr">
        <is>
          <t>ja</t>
        </is>
      </c>
      <c r="I21" s="19" t="n">
        <v>7.560388</v>
      </c>
      <c r="J21" s="19" t="n">
        <v>7.381107</v>
      </c>
      <c r="K21" s="19" t="n">
        <v>8.467136999999999</v>
      </c>
      <c r="L21" s="19" t="n">
        <v>8.378124</v>
      </c>
      <c r="M21" s="19" t="n">
        <v>8.013762</v>
      </c>
      <c r="N21" s="19" t="n">
        <v>7.910343</v>
      </c>
      <c r="O21" s="19" t="n">
        <v>0.906749</v>
      </c>
      <c r="P21" s="28" t="n">
        <v>1</v>
      </c>
      <c r="Q21" s="30" t="n">
        <v>13.9524</v>
      </c>
      <c r="R21" s="19" t="n">
        <v>52.961753</v>
      </c>
      <c r="S21" s="19" t="n">
        <v>53.350362</v>
      </c>
      <c r="T21" s="19" t="n">
        <v>2.241965</v>
      </c>
      <c r="U21" s="29" t="n">
        <v>4.233178</v>
      </c>
      <c r="V21" s="29" t="n">
        <v>57.19896</v>
      </c>
      <c r="W21" s="29" t="n">
        <v>54.341403</v>
      </c>
      <c r="X21" s="29" t="n">
        <v>53.141946</v>
      </c>
      <c r="Y21" s="30" t="n">
        <v>186.725201</v>
      </c>
      <c r="Z21" s="31" t="n">
        <v>2.752276</v>
      </c>
      <c r="AA21" s="19" t="n">
        <v>44.947991</v>
      </c>
      <c r="AB21" s="19" t="n">
        <v>45.440019</v>
      </c>
      <c r="AC21" s="29" t="n">
        <v>961</v>
      </c>
      <c r="AD21" s="18" t="n">
        <v>8.73353</v>
      </c>
    </row>
    <row r="22">
      <c r="A22" s="2" t="inlineStr">
        <is>
          <t>NEU (31.0.101.2141)</t>
        </is>
      </c>
      <c r="B22" s="28" t="n">
        <v>1</v>
      </c>
      <c r="C22" s="29" t="n">
        <v>1.09317</v>
      </c>
      <c r="D22" s="30" t="n">
        <v>186.646121</v>
      </c>
      <c r="E22" s="30" t="n"/>
      <c r="F22" s="2" t="inlineStr">
        <is>
          <t>ja</t>
        </is>
      </c>
      <c r="G22" s="2" t="inlineStr">
        <is>
          <t>ja</t>
        </is>
      </c>
      <c r="H22" s="2" t="inlineStr">
        <is>
          <t>ja</t>
        </is>
      </c>
      <c r="I22" s="19" t="n">
        <v>12.13915</v>
      </c>
      <c r="J22" s="19" t="n">
        <v>8.716597999999999</v>
      </c>
      <c r="K22" s="19" t="n">
        <v>8.557753</v>
      </c>
      <c r="L22" s="19" t="n">
        <v>7.546447</v>
      </c>
      <c r="M22" s="19" t="n">
        <v>10.348452</v>
      </c>
      <c r="N22" s="19" t="n">
        <v>7.954177</v>
      </c>
      <c r="O22" s="19" t="n">
        <v>-3.581396</v>
      </c>
      <c r="P22" s="28" t="n">
        <v>5</v>
      </c>
      <c r="Q22" s="30" t="n">
        <v>43.1244</v>
      </c>
      <c r="R22" s="19" t="n">
        <v>52.943579</v>
      </c>
      <c r="S22" s="19" t="n">
        <v>52.985416</v>
      </c>
      <c r="T22" s="19" t="n">
        <v>2.160168</v>
      </c>
      <c r="U22" s="29" t="n">
        <v>4.080132</v>
      </c>
      <c r="V22" s="29" t="n">
        <v>62.816424</v>
      </c>
      <c r="W22" s="29" t="n">
        <v>54.727456</v>
      </c>
      <c r="X22" s="29" t="n">
        <v>52.629192</v>
      </c>
      <c r="Y22" s="30" t="n">
        <v>186.646121</v>
      </c>
      <c r="Z22" s="31" t="n">
        <v>2.748731</v>
      </c>
      <c r="AA22" s="19" t="n">
        <v>42.595128</v>
      </c>
      <c r="AB22" s="19" t="n">
        <v>45.031239</v>
      </c>
      <c r="AC22" s="29" t="n">
        <v>923</v>
      </c>
      <c r="AD22" s="18" t="n">
        <v>8.613451</v>
      </c>
    </row>
    <row r="23">
      <c r="A23" s="2" t="inlineStr">
        <is>
          <t>NEU (31.0.101.2141)</t>
        </is>
      </c>
      <c r="B23" s="28" t="n">
        <v>2</v>
      </c>
      <c r="C23" s="29" t="n">
        <v>6.238782</v>
      </c>
      <c r="D23" s="30" t="n">
        <v>185.731163</v>
      </c>
      <c r="E23" s="30" t="n">
        <v>308.736667</v>
      </c>
      <c r="F23" s="2" t="inlineStr">
        <is>
          <t>ja</t>
        </is>
      </c>
      <c r="G23" s="2" t="inlineStr">
        <is>
          <t>ja</t>
        </is>
      </c>
      <c r="H23" s="2" t="inlineStr">
        <is>
          <t>ja</t>
        </is>
      </c>
      <c r="I23" s="19" t="n">
        <v>9.028005</v>
      </c>
      <c r="J23" s="19" t="n">
        <v>8.127812</v>
      </c>
      <c r="K23" s="19" t="n">
        <v>13.071523</v>
      </c>
      <c r="L23" s="19" t="n">
        <v>9.3651</v>
      </c>
      <c r="M23" s="19" t="n">
        <v>11.049764</v>
      </c>
      <c r="N23" s="19" t="n">
        <v>8.576359</v>
      </c>
      <c r="O23" s="19" t="n">
        <v>4.043519</v>
      </c>
      <c r="P23" s="28" t="n">
        <v>3</v>
      </c>
      <c r="Q23" s="30" t="n">
        <v>43.327944</v>
      </c>
      <c r="R23" s="19" t="n">
        <v>53.540438</v>
      </c>
      <c r="S23" s="19" t="n">
        <v>53.464576</v>
      </c>
      <c r="T23" s="19" t="n">
        <v>2.518958</v>
      </c>
      <c r="U23" s="29" t="n">
        <v>4.704777</v>
      </c>
      <c r="V23" s="29" t="n">
        <v>63.8616</v>
      </c>
      <c r="W23" s="29" t="n">
        <v>57.112375</v>
      </c>
      <c r="X23" s="29" t="n">
        <v>52.789845</v>
      </c>
      <c r="Y23" s="30" t="n">
        <v>185.731163</v>
      </c>
      <c r="Z23" s="31" t="n">
        <v>2.766543</v>
      </c>
      <c r="AA23" s="19" t="n">
        <v>42.490673</v>
      </c>
      <c r="AB23" s="19" t="n">
        <v>44.888217</v>
      </c>
      <c r="AC23" s="29" t="n">
        <v>954</v>
      </c>
      <c r="AD23" s="18" t="n">
        <v>8.272371</v>
      </c>
    </row>
    <row r="24">
      <c r="A24" s="2" t="inlineStr">
        <is>
          <t>NEU (31.0.101.2141)</t>
        </is>
      </c>
      <c r="B24" s="28" t="n">
        <v>3</v>
      </c>
      <c r="C24" s="29" t="n">
        <v>11.352576</v>
      </c>
      <c r="D24" s="30" t="n">
        <v>185.696947</v>
      </c>
      <c r="E24" s="30" t="n">
        <v>306.827678</v>
      </c>
      <c r="F24" s="2" t="inlineStr">
        <is>
          <t>ja</t>
        </is>
      </c>
      <c r="G24" s="2" t="inlineStr">
        <is>
          <t>nein</t>
        </is>
      </c>
      <c r="H24" s="2" t="inlineStr">
        <is>
          <t>ja</t>
        </is>
      </c>
      <c r="I24" s="19" t="n">
        <v>8.514878</v>
      </c>
      <c r="J24" s="19" t="n">
        <v>8.270276000000001</v>
      </c>
      <c r="K24" s="19" t="n">
        <v>8.642742</v>
      </c>
      <c r="L24" s="19" t="n">
        <v>8.533752</v>
      </c>
      <c r="M24" s="19" t="n">
        <v>8.578810000000001</v>
      </c>
      <c r="N24" s="19" t="n">
        <v>8.376486</v>
      </c>
      <c r="O24" s="19" t="n">
        <v>0.127864</v>
      </c>
      <c r="P24" s="28" t="n">
        <v>4</v>
      </c>
      <c r="Q24" s="30" t="n">
        <v>14.698108</v>
      </c>
      <c r="R24" s="19" t="n">
        <v>53.384918</v>
      </c>
      <c r="S24" s="19" t="n">
        <v>53.4576</v>
      </c>
      <c r="T24" s="19" t="n">
        <v>1.774853</v>
      </c>
      <c r="U24" s="29" t="n">
        <v>3.324635</v>
      </c>
      <c r="V24" s="29" t="n">
        <v>61.15824</v>
      </c>
      <c r="W24" s="29" t="n">
        <v>54.949073</v>
      </c>
      <c r="X24" s="29" t="n">
        <v>51.83136</v>
      </c>
      <c r="Y24" s="30" t="n">
        <v>185.696947</v>
      </c>
      <c r="Z24" s="31" t="n">
        <v>2.755985</v>
      </c>
      <c r="AA24" s="19" t="n">
        <v>44.806109</v>
      </c>
      <c r="AB24" s="19" t="n">
        <v>45.081114</v>
      </c>
      <c r="AC24" s="29" t="n">
        <v>965</v>
      </c>
      <c r="AD24" s="18" t="n">
        <v>8.622132000000001</v>
      </c>
    </row>
    <row r="25">
      <c r="A25" s="2" t="inlineStr">
        <is>
          <t>NEU (31.0.101.2141)</t>
        </is>
      </c>
      <c r="B25" s="28" t="n">
        <v>4</v>
      </c>
      <c r="C25" s="29" t="n">
        <v>16.481627</v>
      </c>
      <c r="D25" s="30" t="n">
        <v>186.710009</v>
      </c>
      <c r="E25" s="30" t="n">
        <v>307.74308</v>
      </c>
      <c r="F25" s="2" t="inlineStr">
        <is>
          <t>ja</t>
        </is>
      </c>
      <c r="G25" s="2" t="inlineStr">
        <is>
          <t>nein</t>
        </is>
      </c>
      <c r="H25" s="2" t="inlineStr">
        <is>
          <t>ja</t>
        </is>
      </c>
      <c r="I25" s="19" t="n">
        <v>8.111393</v>
      </c>
      <c r="J25" s="19" t="n">
        <v>7.92468</v>
      </c>
      <c r="K25" s="19" t="n">
        <v>8.463120999999999</v>
      </c>
      <c r="L25" s="19" t="n">
        <v>8.445316</v>
      </c>
      <c r="M25" s="19" t="n">
        <v>8.287257</v>
      </c>
      <c r="N25" s="19" t="n">
        <v>8.161465</v>
      </c>
      <c r="O25" s="19" t="n">
        <v>0.351728</v>
      </c>
      <c r="P25" s="28" t="n">
        <v>1</v>
      </c>
      <c r="Q25" s="30" t="n">
        <v>13.879668</v>
      </c>
      <c r="R25" s="19" t="n">
        <v>53.127947</v>
      </c>
      <c r="S25" s="19" t="n">
        <v>53.33824</v>
      </c>
      <c r="T25" s="19" t="n">
        <v>2.064328</v>
      </c>
      <c r="U25" s="29" t="n">
        <v>3.885579</v>
      </c>
      <c r="V25" s="29" t="n">
        <v>62.916183</v>
      </c>
      <c r="W25" s="29" t="n">
        <v>54.85392</v>
      </c>
      <c r="X25" s="29" t="n">
        <v>51.75504</v>
      </c>
      <c r="Y25" s="30" t="n">
        <v>186.710009</v>
      </c>
      <c r="Z25" s="31" t="n">
        <v>2.76006</v>
      </c>
      <c r="AA25" s="19" t="n">
        <v>44.840691</v>
      </c>
      <c r="AB25" s="19" t="n">
        <v>45.176775</v>
      </c>
      <c r="AC25" s="29" t="n">
        <v>951</v>
      </c>
      <c r="AD25" s="18" t="n">
        <v>8.803580999999999</v>
      </c>
    </row>
    <row r="26">
      <c r="A26" s="2" t="inlineStr">
        <is>
          <t>NEU (31.0.101.2141)</t>
        </is>
      </c>
      <c r="B26" s="28" t="n">
        <v>5</v>
      </c>
      <c r="C26" s="29" t="n">
        <v>21.610767</v>
      </c>
      <c r="D26" s="30" t="n">
        <v>185.580429</v>
      </c>
      <c r="E26" s="30" t="n">
        <v>307.748375</v>
      </c>
      <c r="F26" s="2" t="inlineStr">
        <is>
          <t>ja</t>
        </is>
      </c>
      <c r="G26" s="2" t="inlineStr">
        <is>
          <t>nein</t>
        </is>
      </c>
      <c r="H26" s="2" t="inlineStr">
        <is>
          <t>ja</t>
        </is>
      </c>
      <c r="I26" s="19" t="n">
        <v>8.047008</v>
      </c>
      <c r="J26" s="19" t="n">
        <v>7.89888</v>
      </c>
      <c r="K26" s="19" t="n">
        <v>8.133787</v>
      </c>
      <c r="L26" s="19" t="n">
        <v>7.973123</v>
      </c>
      <c r="M26" s="19" t="n">
        <v>8.090396999999999</v>
      </c>
      <c r="N26" s="19" t="n">
        <v>7.95727</v>
      </c>
      <c r="O26" s="19" t="n">
        <v>0.086779</v>
      </c>
      <c r="P26" s="28" t="n">
        <v>1</v>
      </c>
      <c r="Q26" s="30" t="n">
        <v>13.904352</v>
      </c>
      <c r="R26" s="19" t="n">
        <v>53.176139</v>
      </c>
      <c r="S26" s="19" t="n">
        <v>53.38278</v>
      </c>
      <c r="T26" s="19" t="n">
        <v>1.418369</v>
      </c>
      <c r="U26" s="29" t="n">
        <v>2.667304</v>
      </c>
      <c r="V26" s="29" t="n">
        <v>57.39415</v>
      </c>
      <c r="W26" s="29" t="n">
        <v>54.480556</v>
      </c>
      <c r="X26" s="29" t="n">
        <v>52.2648</v>
      </c>
      <c r="Y26" s="30" t="n">
        <v>185.580429</v>
      </c>
      <c r="Z26" s="31" t="n">
        <v>2.74286</v>
      </c>
      <c r="AA26" s="19" t="n">
        <v>45.085741</v>
      </c>
      <c r="AB26" s="19" t="n">
        <v>45.42551</v>
      </c>
      <c r="AC26" s="29" t="n">
        <v>969</v>
      </c>
      <c r="AD26" s="18" t="n">
        <v>8.634707000000001</v>
      </c>
    </row>
    <row r="27">
      <c r="A27" s="2" t="inlineStr">
        <is>
          <t>NEU (31.0.101.2141)</t>
        </is>
      </c>
      <c r="B27" s="28" t="n">
        <v>6</v>
      </c>
      <c r="C27" s="29" t="n">
        <v>26.741877</v>
      </c>
      <c r="D27" s="30" t="n">
        <v>185.817836</v>
      </c>
      <c r="E27" s="30" t="n">
        <v>307.866612</v>
      </c>
      <c r="F27" s="2" t="inlineStr">
        <is>
          <t>ja</t>
        </is>
      </c>
      <c r="G27" s="2" t="inlineStr">
        <is>
          <t>nein</t>
        </is>
      </c>
      <c r="H27" s="2" t="inlineStr">
        <is>
          <t>ja</t>
        </is>
      </c>
      <c r="I27" s="19" t="n">
        <v>7.792365</v>
      </c>
      <c r="J27" s="19" t="n">
        <v>7.542336</v>
      </c>
      <c r="K27" s="19" t="n">
        <v>8.385899</v>
      </c>
      <c r="L27" s="19" t="n">
        <v>8.142720000000001</v>
      </c>
      <c r="M27" s="19" t="n">
        <v>8.089131999999999</v>
      </c>
      <c r="N27" s="19" t="n">
        <v>7.87848</v>
      </c>
      <c r="O27" s="19" t="n">
        <v>0.593534</v>
      </c>
      <c r="P27" s="28" t="n">
        <v>1</v>
      </c>
      <c r="Q27" s="30" t="n">
        <v>13.89696</v>
      </c>
      <c r="R27" s="19" t="n">
        <v>53.288747</v>
      </c>
      <c r="S27" s="19" t="n">
        <v>53.39544</v>
      </c>
      <c r="T27" s="19" t="n">
        <v>1.821156</v>
      </c>
      <c r="U27" s="29" t="n">
        <v>3.417524</v>
      </c>
      <c r="V27" s="29" t="n">
        <v>59.43</v>
      </c>
      <c r="W27" s="29" t="n">
        <v>55.201344</v>
      </c>
      <c r="X27" s="29" t="n">
        <v>51.743664</v>
      </c>
      <c r="Y27" s="30" t="n">
        <v>185.817836</v>
      </c>
      <c r="Z27" s="31" t="n">
        <v>2.754166</v>
      </c>
      <c r="AA27" s="19" t="n">
        <v>45.199615</v>
      </c>
      <c r="AB27" s="19" t="n">
        <v>45.51696</v>
      </c>
      <c r="AC27" s="29" t="n">
        <v>948</v>
      </c>
      <c r="AD27" s="18" t="n">
        <v>8.859594</v>
      </c>
    </row>
    <row r="28">
      <c r="A28" s="2" t="inlineStr">
        <is>
          <t>NEU (31.0.101.2141)</t>
        </is>
      </c>
      <c r="B28" s="28" t="n">
        <v>7</v>
      </c>
      <c r="C28" s="29" t="n">
        <v>31.876266</v>
      </c>
      <c r="D28" s="30" t="n">
        <v>185.99142</v>
      </c>
      <c r="E28" s="30" t="n">
        <v>308.063351</v>
      </c>
      <c r="F28" s="2" t="inlineStr">
        <is>
          <t>ja</t>
        </is>
      </c>
      <c r="G28" s="2" t="inlineStr">
        <is>
          <t>nein</t>
        </is>
      </c>
      <c r="H28" s="2" t="inlineStr">
        <is>
          <t>ja</t>
        </is>
      </c>
      <c r="I28" s="19" t="n">
        <v>7.798911</v>
      </c>
      <c r="J28" s="19" t="n">
        <v>7.832169</v>
      </c>
      <c r="K28" s="19" t="n">
        <v>8.213036000000001</v>
      </c>
      <c r="L28" s="19" t="n">
        <v>7.87848</v>
      </c>
      <c r="M28" s="19" t="n">
        <v>8.005972999999999</v>
      </c>
      <c r="N28" s="19" t="n">
        <v>7.87848</v>
      </c>
      <c r="O28" s="19" t="n">
        <v>0.414125</v>
      </c>
      <c r="P28" s="28" t="n">
        <v>0</v>
      </c>
      <c r="Q28" s="30" t="n">
        <v>13.87488</v>
      </c>
      <c r="R28" s="19" t="n">
        <v>53.015039</v>
      </c>
      <c r="S28" s="19" t="n">
        <v>53.31312</v>
      </c>
      <c r="T28" s="19" t="n">
        <v>1.951445</v>
      </c>
      <c r="U28" s="29" t="n">
        <v>3.680927</v>
      </c>
      <c r="V28" s="29" t="n">
        <v>55.332</v>
      </c>
      <c r="W28" s="29" t="n">
        <v>54.175229</v>
      </c>
      <c r="X28" s="29" t="n">
        <v>51.806565</v>
      </c>
      <c r="Y28" s="30" t="n">
        <v>185.99142</v>
      </c>
      <c r="Z28" s="31" t="n">
        <v>2.743764</v>
      </c>
      <c r="AA28" s="19" t="n">
        <v>45.009066</v>
      </c>
      <c r="AB28" s="19" t="n">
        <v>45.43464</v>
      </c>
      <c r="AC28" s="29" t="n">
        <v>943</v>
      </c>
      <c r="AD28" s="18" t="n">
        <v>8.877307</v>
      </c>
    </row>
    <row r="29">
      <c r="A29" s="2" t="inlineStr">
        <is>
          <t>NEU (31.0.101.2141)</t>
        </is>
      </c>
      <c r="B29" s="28" t="n">
        <v>8</v>
      </c>
      <c r="C29" s="29" t="n">
        <v>36.980927</v>
      </c>
      <c r="D29" s="30" t="n">
        <v>185.76642</v>
      </c>
      <c r="E29" s="30" t="n">
        <v>306.279655</v>
      </c>
      <c r="F29" s="2" t="inlineStr">
        <is>
          <t>ja</t>
        </is>
      </c>
      <c r="G29" s="2" t="inlineStr">
        <is>
          <t>nein</t>
        </is>
      </c>
      <c r="H29" s="2" t="inlineStr">
        <is>
          <t>ja</t>
        </is>
      </c>
      <c r="I29" s="19" t="n">
        <v>7.969583</v>
      </c>
      <c r="J29" s="19" t="n">
        <v>7.77096</v>
      </c>
      <c r="K29" s="19" t="n">
        <v>8.287488</v>
      </c>
      <c r="L29" s="19" t="n">
        <v>8.157247999999999</v>
      </c>
      <c r="M29" s="19" t="n">
        <v>8.128534999999999</v>
      </c>
      <c r="N29" s="19" t="n">
        <v>8.050288</v>
      </c>
      <c r="O29" s="19" t="n">
        <v>0.317905</v>
      </c>
      <c r="P29" s="28" t="n">
        <v>0</v>
      </c>
      <c r="Q29" s="30" t="n">
        <v>14.2672</v>
      </c>
      <c r="R29" s="19" t="n">
        <v>53.271356</v>
      </c>
      <c r="S29" s="19" t="n">
        <v>53.39544</v>
      </c>
      <c r="T29" s="19" t="n">
        <v>1.595273</v>
      </c>
      <c r="U29" s="29" t="n">
        <v>2.994617</v>
      </c>
      <c r="V29" s="29" t="n">
        <v>57.72312</v>
      </c>
      <c r="W29" s="29" t="n">
        <v>54.661536</v>
      </c>
      <c r="X29" s="29" t="n">
        <v>52.05984</v>
      </c>
      <c r="Y29" s="30" t="n">
        <v>185.76642</v>
      </c>
      <c r="Z29" s="31" t="n">
        <v>2.751272</v>
      </c>
      <c r="AA29" s="19" t="n">
        <v>45.142821</v>
      </c>
      <c r="AB29" s="19" t="n">
        <v>45.345152</v>
      </c>
      <c r="AC29" s="29" t="n">
        <v>942</v>
      </c>
      <c r="AD29" s="18" t="n">
        <v>8.902357</v>
      </c>
    </row>
    <row r="30">
      <c r="A30" s="2" t="inlineStr">
        <is>
          <t>NEU (31.0.101.2141)</t>
        </is>
      </c>
      <c r="B30" s="28" t="n">
        <v>9</v>
      </c>
      <c r="C30" s="29" t="n">
        <v>42.096699</v>
      </c>
      <c r="D30" s="30" t="n">
        <v>185.921756</v>
      </c>
      <c r="E30" s="30" t="n">
        <v>306.946276</v>
      </c>
      <c r="F30" s="2" t="inlineStr">
        <is>
          <t>ja</t>
        </is>
      </c>
      <c r="G30" s="2" t="inlineStr">
        <is>
          <t>nein</t>
        </is>
      </c>
      <c r="H30" s="2" t="inlineStr">
        <is>
          <t>ja</t>
        </is>
      </c>
      <c r="I30" s="19" t="n">
        <v>7.843114</v>
      </c>
      <c r="J30" s="19" t="n">
        <v>7.77072</v>
      </c>
      <c r="K30" s="19" t="n">
        <v>8.269245</v>
      </c>
      <c r="L30" s="19" t="n">
        <v>8.231427</v>
      </c>
      <c r="M30" s="19" t="n">
        <v>8.056179</v>
      </c>
      <c r="N30" s="19" t="n">
        <v>7.988909</v>
      </c>
      <c r="O30" s="19" t="n">
        <v>0.426131</v>
      </c>
      <c r="P30" s="28" t="n">
        <v>1</v>
      </c>
      <c r="Q30" s="30" t="n">
        <v>13.937994</v>
      </c>
      <c r="R30" s="19" t="n">
        <v>53.191089</v>
      </c>
      <c r="S30" s="19" t="n">
        <v>53.41488</v>
      </c>
      <c r="T30" s="19" t="n">
        <v>1.666238</v>
      </c>
      <c r="U30" s="29" t="n">
        <v>3.13255</v>
      </c>
      <c r="V30" s="29" t="n">
        <v>56.06448</v>
      </c>
      <c r="W30" s="29" t="n">
        <v>54.705696</v>
      </c>
      <c r="X30" s="29" t="n">
        <v>52.632</v>
      </c>
      <c r="Y30" s="30" t="n">
        <v>185.921756</v>
      </c>
      <c r="Z30" s="31" t="n">
        <v>2.74899</v>
      </c>
      <c r="AA30" s="19" t="n">
        <v>45.13491</v>
      </c>
      <c r="AB30" s="19" t="n">
        <v>45.425971</v>
      </c>
      <c r="AC30" s="29" t="n">
        <v>963</v>
      </c>
      <c r="AD30" s="18" t="n">
        <v>8.713979</v>
      </c>
    </row>
    <row r="31">
      <c r="A31" s="2" t="inlineStr">
        <is>
          <t>NEU (31.0.101.2141)</t>
        </is>
      </c>
      <c r="B31" s="28" t="n">
        <v>10</v>
      </c>
      <c r="C31" s="29" t="n">
        <v>47.233217</v>
      </c>
      <c r="D31" s="30" t="n">
        <v>185.889901</v>
      </c>
      <c r="E31" s="30" t="n">
        <v>308.191114</v>
      </c>
      <c r="F31" s="2" t="inlineStr">
        <is>
          <t>ja</t>
        </is>
      </c>
      <c r="G31" s="2" t="inlineStr">
        <is>
          <t>nein</t>
        </is>
      </c>
      <c r="H31" s="2" t="inlineStr">
        <is>
          <t>ja</t>
        </is>
      </c>
      <c r="I31" s="19" t="n">
        <v>8.060650000000001</v>
      </c>
      <c r="J31" s="19" t="n">
        <v>8.09244</v>
      </c>
      <c r="K31" s="19" t="n">
        <v>7.995927</v>
      </c>
      <c r="L31" s="19" t="n">
        <v>8.08314</v>
      </c>
      <c r="M31" s="19" t="n">
        <v>8.028288</v>
      </c>
      <c r="N31" s="19" t="n">
        <v>8.08314</v>
      </c>
      <c r="O31" s="19" t="n">
        <v>-0.064723</v>
      </c>
      <c r="P31" s="28" t="n">
        <v>1</v>
      </c>
      <c r="Q31" s="30" t="n">
        <v>14.066688</v>
      </c>
      <c r="R31" s="19" t="n">
        <v>53.20098</v>
      </c>
      <c r="S31" s="19" t="n">
        <v>53.4768</v>
      </c>
      <c r="T31" s="19" t="n">
        <v>1.713117</v>
      </c>
      <c r="U31" s="29" t="n">
        <v>3.220085</v>
      </c>
      <c r="V31" s="29" t="n">
        <v>55.933208</v>
      </c>
      <c r="W31" s="29" t="n">
        <v>54.442768</v>
      </c>
      <c r="X31" s="29" t="n">
        <v>51.804396</v>
      </c>
      <c r="Y31" s="30" t="n">
        <v>185.889901</v>
      </c>
      <c r="Z31" s="31" t="n">
        <v>2.750959</v>
      </c>
      <c r="AA31" s="19" t="n">
        <v>45.172692</v>
      </c>
      <c r="AB31" s="19" t="n">
        <v>45.39366</v>
      </c>
      <c r="AC31" s="29" t="n">
        <v>960</v>
      </c>
      <c r="AD31" s="18" t="n">
        <v>8.747028</v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Statistische Tests zwischen den Treibern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inlineStr">
        <is>
          <t>Berechnet in Python mit scipy: Kruskal-Wallis, Alexander-Govern (Welch-ANOVA), Welch-t-Test, Mann-Whitney-U; paarweise p-Werte Holm-korrigiert. KI der Differenz nach Welch-Satterthwaite. Hedges g = Effektstärke.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3" t="inlineStr">
        <is>
          <t>Kennzahl</t>
        </is>
      </c>
      <c r="B4" s="3" t="inlineStr">
        <is>
          <t>Kruskal-Wallis p</t>
        </is>
      </c>
      <c r="C4" s="3" t="inlineStr">
        <is>
          <t>Welch-ANOVA p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Mehrverbrauch Delta</t>
        </is>
      </c>
      <c r="B5" s="18" t="n">
        <v>0.488010013028381</v>
      </c>
      <c r="C5" s="18" t="n">
        <v>0.7799071444344459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Last Ø</t>
        </is>
      </c>
      <c r="B6" s="18" t="n">
        <v>3.954526803153494e-05</v>
      </c>
      <c r="C6" s="18" t="n">
        <v>1.273021673849751e-07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Leerlauf Ø</t>
        </is>
      </c>
      <c r="B7" s="18" t="n">
        <v>0.00702198261226127</v>
      </c>
      <c r="C7" s="18" t="n">
        <v>0.0003101778063193309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inlineStr">
        <is>
          <t>Effizienz (J je Score-Punkt)</t>
        </is>
      </c>
      <c r="B8" s="18" t="n">
        <v>5.509499873949852e-05</v>
      </c>
      <c r="C8" s="18" t="n">
        <v>4.828539649794872e-24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3" t="inlineStr">
        <is>
          <t>Kennzahl</t>
        </is>
      </c>
      <c r="B10" s="3" t="inlineStr">
        <is>
          <t>Treiber A</t>
        </is>
      </c>
      <c r="C10" s="3" t="inlineStr">
        <is>
          <t>Treiber B</t>
        </is>
      </c>
      <c r="D10" s="3" t="inlineStr">
        <is>
          <t>n A</t>
        </is>
      </c>
      <c r="E10" s="3" t="inlineStr">
        <is>
          <t>n B</t>
        </is>
      </c>
      <c r="F10" s="3" t="inlineStr">
        <is>
          <t>Mittel A</t>
        </is>
      </c>
      <c r="G10" s="3" t="inlineStr">
        <is>
          <t>Mittel B</t>
        </is>
      </c>
      <c r="H10" s="3" t="inlineStr">
        <is>
          <t>Differenz B − A</t>
        </is>
      </c>
      <c r="I10" s="3" t="inlineStr">
        <is>
          <t>relativ [%]</t>
        </is>
      </c>
      <c r="J10" s="3" t="inlineStr">
        <is>
          <t>KI unten</t>
        </is>
      </c>
      <c r="K10" s="3" t="inlineStr">
        <is>
          <t>KI oben</t>
        </is>
      </c>
      <c r="L10" s="3" t="inlineStr">
        <is>
          <t>p Welch (Holm)</t>
        </is>
      </c>
      <c r="M10" s="3" t="inlineStr">
        <is>
          <t>p MWU (Holm)</t>
        </is>
      </c>
      <c r="N10" s="3" t="inlineStr">
        <is>
          <t>Hedges g</t>
        </is>
      </c>
      <c r="O10" s="3" t="inlineStr">
        <is>
          <t>Effekt</t>
        </is>
      </c>
      <c r="P10" s="3" t="inlineStr">
        <is>
          <t>signifikant (5 %)</t>
        </is>
      </c>
    </row>
    <row r="11">
      <c r="A11" s="2" t="inlineStr">
        <is>
          <t>delta</t>
        </is>
      </c>
      <c r="B11" s="2" t="inlineStr">
        <is>
          <t>ALT (31.0.101.2115)</t>
        </is>
      </c>
      <c r="C11" s="2" t="inlineStr">
        <is>
          <t>MITTEL (31.0.101.2135)</t>
        </is>
      </c>
      <c r="D11" s="28" t="n">
        <v>10</v>
      </c>
      <c r="E11" s="28" t="n">
        <v>10</v>
      </c>
      <c r="F11" s="18" t="n">
        <v>44.80470997285227</v>
      </c>
      <c r="G11" s="18" t="n">
        <v>44.77025789676434</v>
      </c>
      <c r="H11" s="18" t="n">
        <v>-0.03445207608793055</v>
      </c>
      <c r="I11" s="29" t="n">
        <v>-0.07689387144522414</v>
      </c>
      <c r="J11" s="18" t="n">
        <v>-0.5275043498113332</v>
      </c>
      <c r="K11" s="18" t="n">
        <v>0.4586001976354722</v>
      </c>
      <c r="L11" s="18" t="n">
        <v>1</v>
      </c>
      <c r="M11" s="18" t="n">
        <v>0.922468369856044</v>
      </c>
      <c r="N11" s="29" t="n">
        <v>-0.06461786699989094</v>
      </c>
      <c r="O11" s="2" t="inlineStr">
        <is>
          <t>vernachlässigbar</t>
        </is>
      </c>
      <c r="P11" s="2">
        <f>IF(L11="","",IF(L11&lt;0.05,"ja","nein"))</f>
        <v/>
      </c>
    </row>
    <row r="12">
      <c r="A12" s="2" t="inlineStr">
        <is>
          <t>delta</t>
        </is>
      </c>
      <c r="B12" s="2" t="inlineStr">
        <is>
          <t>ALT (31.0.101.2115)</t>
        </is>
      </c>
      <c r="C12" s="2" t="inlineStr">
        <is>
          <t>NEU (31.0.101.2141)</t>
        </is>
      </c>
      <c r="D12" s="28" t="n">
        <v>10</v>
      </c>
      <c r="E12" s="28" t="n">
        <v>10</v>
      </c>
      <c r="F12" s="18" t="n">
        <v>44.80470997285227</v>
      </c>
      <c r="G12" s="18" t="n">
        <v>44.54774451556554</v>
      </c>
      <c r="H12" s="18" t="n">
        <v>-0.2569654572867321</v>
      </c>
      <c r="I12" s="29" t="n">
        <v>-0.5735233136034821</v>
      </c>
      <c r="J12" s="18" t="n">
        <v>-1.034347137663641</v>
      </c>
      <c r="K12" s="18" t="n">
        <v>0.5204162230901771</v>
      </c>
      <c r="L12" s="18" t="n">
        <v>1</v>
      </c>
      <c r="M12" s="18" t="n">
        <v>0.922468369856044</v>
      </c>
      <c r="N12" s="29" t="n">
        <v>-0.3131113999282463</v>
      </c>
      <c r="O12" s="2" t="inlineStr">
        <is>
          <t>klein</t>
        </is>
      </c>
      <c r="P12" s="2">
        <f>IF(L12="","",IF(L12&lt;0.05,"ja","nein"))</f>
        <v/>
      </c>
    </row>
    <row r="13">
      <c r="A13" s="2" t="inlineStr">
        <is>
          <t>delta</t>
        </is>
      </c>
      <c r="B13" s="2" t="inlineStr">
        <is>
          <t>MITTEL (31.0.101.2135)</t>
        </is>
      </c>
      <c r="C13" s="2" t="inlineStr">
        <is>
          <t>NEU (31.0.101.2141)</t>
        </is>
      </c>
      <c r="D13" s="28" t="n">
        <v>10</v>
      </c>
      <c r="E13" s="28" t="n">
        <v>10</v>
      </c>
      <c r="F13" s="18" t="n">
        <v>44.77025789676434</v>
      </c>
      <c r="G13" s="18" t="n">
        <v>44.54774451556554</v>
      </c>
      <c r="H13" s="18" t="n">
        <v>-0.2225133811988016</v>
      </c>
      <c r="I13" s="29" t="n">
        <v>-0.49701161362951</v>
      </c>
      <c r="J13" s="18" t="n">
        <v>-1.063822026589054</v>
      </c>
      <c r="K13" s="18" t="n">
        <v>0.6187952641914506</v>
      </c>
      <c r="L13" s="18" t="n">
        <v>1</v>
      </c>
      <c r="M13" s="18" t="n">
        <v>0.922468369856044</v>
      </c>
      <c r="N13" s="29" t="n">
        <v>-0.241646411734718</v>
      </c>
      <c r="O13" s="2" t="inlineStr">
        <is>
          <t>klein</t>
        </is>
      </c>
      <c r="P13" s="2">
        <f>IF(L13="","",IF(L13&lt;0.05,"ja","nein"))</f>
        <v/>
      </c>
    </row>
    <row r="14">
      <c r="A14" s="2" t="inlineStr">
        <is>
          <t>load_mean</t>
        </is>
      </c>
      <c r="B14" s="2" t="inlineStr">
        <is>
          <t>ALT (31.0.101.2115)</t>
        </is>
      </c>
      <c r="C14" s="2" t="inlineStr">
        <is>
          <t>MITTEL (31.0.101.2135)</t>
        </is>
      </c>
      <c r="D14" s="28" t="n">
        <v>10</v>
      </c>
      <c r="E14" s="28" t="n">
        <v>10</v>
      </c>
      <c r="F14" s="18" t="n">
        <v>54.11099961885227</v>
      </c>
      <c r="G14" s="18" t="n">
        <v>53.09610557776434</v>
      </c>
      <c r="H14" s="18" t="n">
        <v>-1.014894041087928</v>
      </c>
      <c r="I14" s="29" t="n">
        <v>-1.875578067743437</v>
      </c>
      <c r="J14" s="18" t="n">
        <v>-1.22152921625472</v>
      </c>
      <c r="K14" s="18" t="n">
        <v>-0.8082588659211357</v>
      </c>
      <c r="L14" s="18" t="n">
        <v>1.596473662482384e-07</v>
      </c>
      <c r="M14" s="18" t="n">
        <v>0.0005480153733286501</v>
      </c>
      <c r="N14" s="29" t="n">
        <v>-4.516339979370758</v>
      </c>
      <c r="O14" s="2" t="inlineStr">
        <is>
          <t>groß</t>
        </is>
      </c>
      <c r="P14" s="2">
        <f>IF(L14="","",IF(L14&lt;0.05,"ja","nein"))</f>
        <v/>
      </c>
    </row>
    <row r="15">
      <c r="A15" s="2" t="inlineStr">
        <is>
          <t>load_mean</t>
        </is>
      </c>
      <c r="B15" s="2" t="inlineStr">
        <is>
          <t>ALT (31.0.101.2115)</t>
        </is>
      </c>
      <c r="C15" s="2" t="inlineStr">
        <is>
          <t>NEU (31.0.101.2141)</t>
        </is>
      </c>
      <c r="D15" s="28" t="n">
        <v>10</v>
      </c>
      <c r="E15" s="28" t="n">
        <v>10</v>
      </c>
      <c r="F15" s="18" t="n">
        <v>54.11099961885227</v>
      </c>
      <c r="G15" s="18" t="n">
        <v>53.21402328456553</v>
      </c>
      <c r="H15" s="18" t="n">
        <v>-0.896976334286741</v>
      </c>
      <c r="I15" s="29" t="n">
        <v>-1.657659885429717</v>
      </c>
      <c r="J15" s="18" t="n">
        <v>-1.111067217120835</v>
      </c>
      <c r="K15" s="18" t="n">
        <v>-0.6828854514526471</v>
      </c>
      <c r="L15" s="18" t="n">
        <v>3.68526159777462e-07</v>
      </c>
      <c r="M15" s="18" t="n">
        <v>0.0005480153733286501</v>
      </c>
      <c r="N15" s="29" t="n">
        <v>-3.817123419151412</v>
      </c>
      <c r="O15" s="2" t="inlineStr">
        <is>
          <t>groß</t>
        </is>
      </c>
      <c r="P15" s="2">
        <f>IF(L15="","",IF(L15&lt;0.05,"ja","nein"))</f>
        <v/>
      </c>
    </row>
    <row r="16">
      <c r="A16" s="2" t="inlineStr">
        <is>
          <t>load_mean</t>
        </is>
      </c>
      <c r="B16" s="2" t="inlineStr">
        <is>
          <t>MITTEL (31.0.101.2135)</t>
        </is>
      </c>
      <c r="C16" s="2" t="inlineStr">
        <is>
          <t>NEU (31.0.101.2141)</t>
        </is>
      </c>
      <c r="D16" s="28" t="n">
        <v>10</v>
      </c>
      <c r="E16" s="28" t="n">
        <v>10</v>
      </c>
      <c r="F16" s="18" t="n">
        <v>53.09610557776434</v>
      </c>
      <c r="G16" s="18" t="n">
        <v>53.21402328456553</v>
      </c>
      <c r="H16" s="18" t="n">
        <v>0.1179177068011867</v>
      </c>
      <c r="I16" s="29" t="n">
        <v>0.2220835323383274</v>
      </c>
      <c r="J16" s="18" t="n">
        <v>-0.0319135711099536</v>
      </c>
      <c r="K16" s="18" t="n">
        <v>0.2677489847123271</v>
      </c>
      <c r="L16" s="18" t="n">
        <v>0.1153686005944186</v>
      </c>
      <c r="M16" s="18" t="n">
        <v>0.1041098896602268</v>
      </c>
      <c r="N16" s="29" t="n">
        <v>0.7096815221893527</v>
      </c>
      <c r="O16" s="2" t="inlineStr">
        <is>
          <t>mittel</t>
        </is>
      </c>
      <c r="P16" s="2">
        <f>IF(L16="","",IF(L16&lt;0.05,"ja","nein"))</f>
        <v/>
      </c>
    </row>
    <row r="17">
      <c r="A17" s="2" t="inlineStr">
        <is>
          <t>idle_mean</t>
        </is>
      </c>
      <c r="B17" s="2" t="inlineStr">
        <is>
          <t>ALT (31.0.101.2115)</t>
        </is>
      </c>
      <c r="C17" s="2" t="inlineStr">
        <is>
          <t>MITTEL (31.0.101.2135)</t>
        </is>
      </c>
      <c r="D17" s="28" t="n">
        <v>10</v>
      </c>
      <c r="E17" s="28" t="n">
        <v>10</v>
      </c>
      <c r="F17" s="18" t="n">
        <v>9.306289646000002</v>
      </c>
      <c r="G17" s="18" t="n">
        <v>8.325847681000001</v>
      </c>
      <c r="H17" s="18" t="n">
        <v>-0.9804419650000007</v>
      </c>
      <c r="I17" s="29" t="n">
        <v>-10.53526165953164</v>
      </c>
      <c r="J17" s="18" t="n">
        <v>-1.385213088468905</v>
      </c>
      <c r="K17" s="18" t="n">
        <v>-0.5756708415310967</v>
      </c>
      <c r="L17" s="18" t="n">
        <v>0.000782949589180313</v>
      </c>
      <c r="M17" s="18" t="n">
        <v>0.01083154293698881</v>
      </c>
      <c r="N17" s="29" t="n">
        <v>-2.29308509139678</v>
      </c>
      <c r="O17" s="2" t="inlineStr">
        <is>
          <t>groß</t>
        </is>
      </c>
      <c r="P17" s="2">
        <f>IF(L17="","",IF(L17&lt;0.05,"ja","nein"))</f>
        <v/>
      </c>
    </row>
    <row r="18">
      <c r="A18" s="2" t="inlineStr">
        <is>
          <t>idle_mean</t>
        </is>
      </c>
      <c r="B18" s="2" t="inlineStr">
        <is>
          <t>ALT (31.0.101.2115)</t>
        </is>
      </c>
      <c r="C18" s="2" t="inlineStr">
        <is>
          <t>NEU (31.0.101.2141)</t>
        </is>
      </c>
      <c r="D18" s="28" t="n">
        <v>10</v>
      </c>
      <c r="E18" s="28" t="n">
        <v>10</v>
      </c>
      <c r="F18" s="18" t="n">
        <v>9.306289646000002</v>
      </c>
      <c r="G18" s="18" t="n">
        <v>8.666278768999998</v>
      </c>
      <c r="H18" s="18" t="n">
        <v>-0.6400108770000035</v>
      </c>
      <c r="I18" s="29" t="n">
        <v>-6.877186304588004</v>
      </c>
      <c r="J18" s="18" t="n">
        <v>-1.4285250352229</v>
      </c>
      <c r="K18" s="18" t="n">
        <v>0.1485032812228931</v>
      </c>
      <c r="L18" s="18" t="n">
        <v>0.2000451751595883</v>
      </c>
      <c r="M18" s="18" t="n">
        <v>0.05149616164221613</v>
      </c>
      <c r="N18" s="29" t="n">
        <v>-0.7811221657297637</v>
      </c>
      <c r="O18" s="2" t="inlineStr">
        <is>
          <t>mittel</t>
        </is>
      </c>
      <c r="P18" s="2">
        <f>IF(L18="","",IF(L18&lt;0.05,"ja","nein"))</f>
        <v/>
      </c>
    </row>
    <row r="19">
      <c r="A19" s="2" t="inlineStr">
        <is>
          <t>idle_mean</t>
        </is>
      </c>
      <c r="B19" s="2" t="inlineStr">
        <is>
          <t>MITTEL (31.0.101.2135)</t>
        </is>
      </c>
      <c r="C19" s="2" t="inlineStr">
        <is>
          <t>NEU (31.0.101.2141)</t>
        </is>
      </c>
      <c r="D19" s="28" t="n">
        <v>10</v>
      </c>
      <c r="E19" s="28" t="n">
        <v>10</v>
      </c>
      <c r="F19" s="18" t="n">
        <v>8.325847681000001</v>
      </c>
      <c r="G19" s="18" t="n">
        <v>8.666278768999998</v>
      </c>
      <c r="H19" s="18" t="n">
        <v>0.3404310879999972</v>
      </c>
      <c r="I19" s="29" t="n">
        <v>4.088845977531848</v>
      </c>
      <c r="J19" s="18" t="n">
        <v>-0.4972481147034267</v>
      </c>
      <c r="K19" s="18" t="n">
        <v>1.178110290703421</v>
      </c>
      <c r="L19" s="18" t="n">
        <v>0.3966290524927221</v>
      </c>
      <c r="M19" s="18" t="n">
        <v>0.3846730627355087</v>
      </c>
      <c r="N19" s="29" t="n">
        <v>0.3751491711505629</v>
      </c>
      <c r="O19" s="2" t="inlineStr">
        <is>
          <t>klein</t>
        </is>
      </c>
      <c r="P19" s="2">
        <f>IF(L19="","",IF(L19&lt;0.05,"ja","nein"))</f>
        <v/>
      </c>
    </row>
    <row r="20">
      <c r="A20" s="2" t="inlineStr">
        <is>
          <t>eff</t>
        </is>
      </c>
      <c r="B20" s="2" t="inlineStr">
        <is>
          <t>ALT (31.0.101.2115)</t>
        </is>
      </c>
      <c r="C20" s="2" t="inlineStr">
        <is>
          <t>MITTEL (31.0.101.2135)</t>
        </is>
      </c>
      <c r="D20" s="28" t="n">
        <v>10</v>
      </c>
      <c r="E20" s="28" t="n">
        <v>10</v>
      </c>
      <c r="F20" s="18" t="n">
        <v>7.211922888317909</v>
      </c>
      <c r="G20" s="18" t="n">
        <v>8.687903028891141</v>
      </c>
      <c r="H20" s="18" t="n">
        <v>1.475980140573231</v>
      </c>
      <c r="I20" s="29" t="n">
        <v>20.4658336400694</v>
      </c>
      <c r="J20" s="18" t="n">
        <v>1.397365434944545</v>
      </c>
      <c r="K20" s="18" t="n">
        <v>1.554594846201917</v>
      </c>
      <c r="L20" s="18" t="n">
        <v>8.991981881618219e-17</v>
      </c>
      <c r="M20" s="18" t="n">
        <v>0.0005480153733286501</v>
      </c>
      <c r="N20" s="29" t="n">
        <v>17.06835966095909</v>
      </c>
      <c r="O20" s="2" t="inlineStr">
        <is>
          <t>groß</t>
        </is>
      </c>
      <c r="P20" s="2">
        <f>IF(L20="","",IF(L20&lt;0.05,"ja","nein"))</f>
        <v/>
      </c>
    </row>
    <row r="21">
      <c r="A21" s="2" t="inlineStr">
        <is>
          <t>eff</t>
        </is>
      </c>
      <c r="B21" s="2" t="inlineStr">
        <is>
          <t>ALT (31.0.101.2115)</t>
        </is>
      </c>
      <c r="C21" s="2" t="inlineStr">
        <is>
          <t>NEU (31.0.101.2141)</t>
        </is>
      </c>
      <c r="D21" s="28" t="n">
        <v>10</v>
      </c>
      <c r="E21" s="28" t="n">
        <v>10</v>
      </c>
      <c r="F21" s="18" t="n">
        <v>7.211922888317909</v>
      </c>
      <c r="G21" s="18" t="n">
        <v>8.704650718734204</v>
      </c>
      <c r="H21" s="18" t="n">
        <v>1.492727830416294</v>
      </c>
      <c r="I21" s="29" t="n">
        <v>20.69805589344639</v>
      </c>
      <c r="J21" s="18" t="n">
        <v>1.355769449384366</v>
      </c>
      <c r="K21" s="18" t="n">
        <v>1.629686211448223</v>
      </c>
      <c r="L21" s="18" t="n">
        <v>1.151876911969353e-10</v>
      </c>
      <c r="M21" s="18" t="n">
        <v>0.0005480153733286501</v>
      </c>
      <c r="N21" s="29" t="n">
        <v>10.2535876097299</v>
      </c>
      <c r="O21" s="2" t="inlineStr">
        <is>
          <t>groß</t>
        </is>
      </c>
      <c r="P21" s="2">
        <f>IF(L21="","",IF(L21&lt;0.05,"ja","nein"))</f>
        <v/>
      </c>
    </row>
    <row r="22">
      <c r="A22" s="2" t="inlineStr">
        <is>
          <t>eff</t>
        </is>
      </c>
      <c r="B22" s="2" t="inlineStr">
        <is>
          <t>MITTEL (31.0.101.2135)</t>
        </is>
      </c>
      <c r="C22" s="2" t="inlineStr">
        <is>
          <t>NEU (31.0.101.2141)</t>
        </is>
      </c>
      <c r="D22" s="28" t="n">
        <v>10</v>
      </c>
      <c r="E22" s="28" t="n">
        <v>10</v>
      </c>
      <c r="F22" s="18" t="n">
        <v>8.687903028891141</v>
      </c>
      <c r="G22" s="18" t="n">
        <v>8.704650718734204</v>
      </c>
      <c r="H22" s="18" t="n">
        <v>0.01674768984306318</v>
      </c>
      <c r="I22" s="29" t="n">
        <v>0.1927702207007798</v>
      </c>
      <c r="J22" s="18" t="n">
        <v>-0.1260256685434269</v>
      </c>
      <c r="K22" s="18" t="n">
        <v>0.1595210482295532</v>
      </c>
      <c r="L22" s="18" t="n">
        <v>0.8045626069350607</v>
      </c>
      <c r="M22" s="18" t="n">
        <v>0.4726755935115872</v>
      </c>
      <c r="N22" s="29" t="n">
        <v>0.1080799405820167</v>
      </c>
      <c r="O22" s="2" t="inlineStr">
        <is>
          <t>vernachlässigbar</t>
        </is>
      </c>
      <c r="P22" s="2">
        <f>IF(L22="","",IF(L22&lt;0.05,"ja","nein"))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Entwicklung über die Zyklen (lineare Regression je Treiber)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Berechnet in Python (scipy.stats.linregress). p &lt; 0,05 und merkliche Summe über den Lauf deuten auf Aufwärm- oder Temperatureffekte.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Treiber</t>
        </is>
      </c>
      <c r="B4" s="3" t="inlineStr">
        <is>
          <t>Größe</t>
        </is>
      </c>
      <c r="C4" s="3" t="inlineStr">
        <is>
          <t>Steigung je Zyklus [W]</t>
        </is>
      </c>
      <c r="D4" s="3" t="inlineStr">
        <is>
          <t>Summe über Lauf [W]</t>
        </is>
      </c>
      <c r="E4" s="3" t="inlineStr">
        <is>
          <t>R²</t>
        </is>
      </c>
      <c r="F4" s="3" t="inlineStr">
        <is>
          <t>p</t>
        </is>
      </c>
      <c r="G4" s="3" t="inlineStr">
        <is>
          <t>Zyklus 1 − übrige [W]</t>
        </is>
      </c>
    </row>
    <row r="5">
      <c r="A5" s="2" t="inlineStr">
        <is>
          <t>ALT (31.0.101.2115)</t>
        </is>
      </c>
      <c r="B5" s="2" t="inlineStr">
        <is>
          <t>Last Ø</t>
        </is>
      </c>
      <c r="C5" s="18" t="n">
        <v>0.02165354209832258</v>
      </c>
      <c r="D5" s="18" t="n">
        <v>0.1948818788849032</v>
      </c>
      <c r="E5" s="18" t="n">
        <v>0.05998862738690369</v>
      </c>
      <c r="F5" s="18" t="n">
        <v>0.4952250025843735</v>
      </c>
      <c r="G5" s="18" t="n">
        <v>-0.6912768617878058</v>
      </c>
    </row>
    <row r="6">
      <c r="A6" s="2" t="inlineStr">
        <is>
          <t>ALT (31.0.101.2115)</t>
        </is>
      </c>
      <c r="B6" s="2" t="inlineStr">
        <is>
          <t>Delta</t>
        </is>
      </c>
      <c r="C6" s="18" t="n">
        <v>0.04694504306801957</v>
      </c>
      <c r="D6" s="18" t="n">
        <v>0.4225053876121762</v>
      </c>
      <c r="E6" s="18" t="n">
        <v>0.2004433538395899</v>
      </c>
      <c r="F6" s="18" t="n">
        <v>0.1944611296004319</v>
      </c>
      <c r="G6" s="18" t="n">
        <v>-0.812040366232246</v>
      </c>
    </row>
    <row r="7">
      <c r="A7" s="2" t="inlineStr">
        <is>
          <t>ALT (31.0.101.2115)</t>
        </is>
      </c>
      <c r="B7" s="2" t="inlineStr">
        <is>
          <t>Leerlauf Ø</t>
        </is>
      </c>
      <c r="C7" s="18" t="n">
        <v>-0.02529150096969705</v>
      </c>
      <c r="D7" s="18" t="n">
        <v>-0.2276235087272734</v>
      </c>
      <c r="E7" s="18" t="n">
        <v>0.2084396679745108</v>
      </c>
      <c r="F7" s="18" t="n">
        <v>0.1847203707372269</v>
      </c>
      <c r="G7" s="18" t="n">
        <v>0.1207635044444437</v>
      </c>
    </row>
    <row r="8">
      <c r="A8" s="2" t="inlineStr">
        <is>
          <t>MITTEL (31.0.101.2135)</t>
        </is>
      </c>
      <c r="B8" s="2" t="inlineStr">
        <is>
          <t>Last Ø</t>
        </is>
      </c>
      <c r="C8" s="18" t="n">
        <v>0.003780177875248588</v>
      </c>
      <c r="D8" s="18" t="n">
        <v>0.0340216008772373</v>
      </c>
      <c r="E8" s="18" t="n">
        <v>0.006239738467733514</v>
      </c>
      <c r="F8" s="18" t="n">
        <v>0.8282791319343339</v>
      </c>
      <c r="G8" s="18" t="n">
        <v>-0.2082176132865428</v>
      </c>
    </row>
    <row r="9">
      <c r="A9" s="2" t="inlineStr">
        <is>
          <t>MITTEL (31.0.101.2135)</t>
        </is>
      </c>
      <c r="B9" s="2" t="inlineStr">
        <is>
          <t>Delta</t>
        </is>
      </c>
      <c r="C9" s="18" t="n">
        <v>0.1464728006025218</v>
      </c>
      <c r="D9" s="18" t="n">
        <v>1.318255205422696</v>
      </c>
      <c r="E9" s="18" t="n">
        <v>0.4674501259459494</v>
      </c>
      <c r="F9" s="18" t="n">
        <v>0.02925950873635142</v>
      </c>
      <c r="G9" s="18" t="n">
        <v>-1.176217101064331</v>
      </c>
    </row>
    <row r="10">
      <c r="A10" s="2" t="inlineStr">
        <is>
          <t>MITTEL (31.0.101.2135)</t>
        </is>
      </c>
      <c r="B10" s="2" t="inlineStr">
        <is>
          <t>Leerlauf Ø</t>
        </is>
      </c>
      <c r="C10" s="18" t="n">
        <v>-0.1426926227272727</v>
      </c>
      <c r="D10" s="18" t="n">
        <v>-1.284233604545455</v>
      </c>
      <c r="E10" s="18" t="n">
        <v>0.6074721695259673</v>
      </c>
      <c r="F10" s="18" t="n">
        <v>0.00786170535551926</v>
      </c>
      <c r="G10" s="18" t="n">
        <v>0.9679994877777762</v>
      </c>
    </row>
    <row r="11">
      <c r="A11" s="2" t="inlineStr">
        <is>
          <t>NEU (31.0.101.2141)</t>
        </is>
      </c>
      <c r="B11" s="2" t="inlineStr">
        <is>
          <t>Last Ø</t>
        </is>
      </c>
      <c r="C11" s="18" t="n">
        <v>-0.005592481709334367</v>
      </c>
      <c r="D11" s="18" t="n">
        <v>-0.0503323353840093</v>
      </c>
      <c r="E11" s="18" t="n">
        <v>0.009667614823516864</v>
      </c>
      <c r="F11" s="18" t="n">
        <v>0.7869834987960298</v>
      </c>
      <c r="G11" s="18" t="n">
        <v>-0.3004934344634904</v>
      </c>
    </row>
    <row r="12">
      <c r="A12" s="2" t="inlineStr">
        <is>
          <t>NEU (31.0.101.2141)</t>
        </is>
      </c>
      <c r="B12" s="2" t="inlineStr">
        <is>
          <t>Delta</t>
        </is>
      </c>
      <c r="C12" s="18" t="n">
        <v>0.2667290401694536</v>
      </c>
      <c r="D12" s="18" t="n">
        <v>2.400561361525083</v>
      </c>
      <c r="E12" s="18" t="n">
        <v>0.5746744327678714</v>
      </c>
      <c r="F12" s="18" t="n">
        <v>0.01105955954208889</v>
      </c>
      <c r="G12" s="18" t="n">
        <v>-2.169574313352385</v>
      </c>
    </row>
    <row r="13">
      <c r="A13" s="2" t="inlineStr">
        <is>
          <t>NEU (31.0.101.2141)</t>
        </is>
      </c>
      <c r="B13" s="2" t="inlineStr">
        <is>
          <t>Leerlauf Ø</t>
        </is>
      </c>
      <c r="C13" s="18" t="n">
        <v>-0.2723215218787879</v>
      </c>
      <c r="D13" s="18" t="n">
        <v>-2.450893696909092</v>
      </c>
      <c r="E13" s="18" t="n">
        <v>0.5648617402917501</v>
      </c>
      <c r="F13" s="18" t="n">
        <v>0.01219208216161296</v>
      </c>
      <c r="G13" s="18" t="n">
        <v>1.869080878888891</v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Messaufbau, Parameter und Datenqualität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6" t="inlineStr">
        <is>
          <t>Benchmark</t>
        </is>
      </c>
      <c r="B3" s="2" t="inlineStr">
        <is>
          <t>FurMark (Intel UHD 630)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6" t="inlineStr">
        <is>
          <t>Erwartete Lastdauer [s]</t>
        </is>
      </c>
      <c r="B4" s="2" t="n">
        <v>180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16" t="inlineStr">
        <is>
          <t>Erwarteter Leerlauf je Seite [s]</t>
        </is>
      </c>
      <c r="B5" s="2" t="n">
        <v>60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16" t="inlineStr">
        <is>
          <t>Erwartete Zyklen</t>
        </is>
      </c>
      <c r="B6" s="2" t="n">
        <v>10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16" t="inlineStr">
        <is>
          <t>Lastfenster</t>
        </is>
      </c>
      <c r="B7" s="2" t="inlineStr">
        <is>
          <t>vollständiges Plateau je Durchlauf, vom ersten bis zum letzten Messwert über der Schwelle (Median 185.8 s, 184.6 bis 187.6 s)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16" t="inlineStr">
        <is>
          <t>Plateauflanken</t>
        </is>
      </c>
      <c r="B8" s="2" t="inlineStr">
        <is>
          <t>Beginn über drei Rohwerte bestätigt (zählen mit), Ende = letzter Wert über der Schwelle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16" t="inlineStr">
        <is>
          <t>Abstand Leerlauffenster zu Flanken [s]</t>
        </is>
      </c>
      <c r="B9" s="2" t="n">
        <v>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16" t="inlineStr">
        <is>
          <t>Länge Leerlauffenster [s]</t>
        </is>
      </c>
      <c r="B10" s="2" t="n">
        <v>50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16" t="inlineStr">
        <is>
          <t>Vergleichsbasis</t>
        </is>
      </c>
      <c r="B11" s="2" t="inlineStr">
        <is>
          <t>ALT (31.0.101.2115)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3" t="inlineStr">
        <is>
          <t>Treiber</t>
        </is>
      </c>
      <c r="B14" s="3" t="inlineStr">
        <is>
          <t>Datei</t>
        </is>
      </c>
      <c r="C14" s="3" t="inlineStr">
        <is>
          <t>Messwerte</t>
        </is>
      </c>
      <c r="D14" s="3" t="inlineStr">
        <is>
          <t>Dauer [min]</t>
        </is>
      </c>
      <c r="E14" s="3" t="inlineStr">
        <is>
          <t>Δt Median [s]</t>
        </is>
      </c>
      <c r="F14" s="3" t="inlineStr">
        <is>
          <t>größte Lücke [s]</t>
        </is>
      </c>
      <c r="G14" s="3" t="inlineStr">
        <is>
          <t>Schwelle [W]</t>
        </is>
      </c>
      <c r="H14" s="3" t="inlineStr">
        <is>
          <t>Leerlaufniveau [W]</t>
        </is>
      </c>
      <c r="I14" s="3" t="inlineStr">
        <is>
          <t>Lastniveau [W]</t>
        </is>
      </c>
      <c r="J14" s="3" t="inlineStr">
        <is>
          <t>Trennschärfe</t>
        </is>
      </c>
      <c r="K14" s="3" t="inlineStr">
        <is>
          <t>Lastphasen erkannt</t>
        </is>
      </c>
    </row>
    <row r="15">
      <c r="A15" s="2" t="inlineStr">
        <is>
          <t>ALT (31.0.101.2115)</t>
        </is>
      </c>
      <c r="B15" s="2" t="inlineStr">
        <is>
          <t>Messung_gpu_alt.log</t>
        </is>
      </c>
      <c r="C15" s="2" t="n">
        <v>3094</v>
      </c>
      <c r="D15" s="29" t="n">
        <v>52.05082831666667</v>
      </c>
      <c r="E15" s="29" t="n">
        <v>1.009691999999632</v>
      </c>
      <c r="F15" s="29" t="n">
        <v>1.037369000000126</v>
      </c>
      <c r="G15" s="29" t="n">
        <v>31.78304706103876</v>
      </c>
      <c r="H15" s="29" t="n">
        <v>9.28173782292772</v>
      </c>
      <c r="I15" s="29" t="n">
        <v>54.28435629914979</v>
      </c>
      <c r="J15" s="29" t="n">
        <v>65.97144704147931</v>
      </c>
      <c r="K15" s="2" t="n">
        <v>10</v>
      </c>
    </row>
    <row r="16">
      <c r="A16" s="2" t="inlineStr">
        <is>
          <t>MITTEL (31.0.101.2135)</t>
        </is>
      </c>
      <c r="B16" s="2" t="inlineStr">
        <is>
          <t>Messung_gpu_mittel.log</t>
        </is>
      </c>
      <c r="C16" s="2" t="n">
        <v>3090</v>
      </c>
      <c r="D16" s="29" t="n">
        <v>51.97079171666667</v>
      </c>
      <c r="E16" s="29" t="n">
        <v>1.009163000000001</v>
      </c>
      <c r="F16" s="29" t="n">
        <v>1.045102000000043</v>
      </c>
      <c r="G16" s="29" t="n">
        <v>30.72853332194929</v>
      </c>
      <c r="H16" s="29" t="n">
        <v>8.128897919321648</v>
      </c>
      <c r="I16" s="29" t="n">
        <v>53.32816872457693</v>
      </c>
      <c r="J16" s="29" t="n">
        <v>58.66084183948688</v>
      </c>
      <c r="K16" s="2" t="n">
        <v>10</v>
      </c>
    </row>
    <row r="17">
      <c r="A17" s="2" t="inlineStr">
        <is>
          <t>NEU (31.0.101.2141)</t>
        </is>
      </c>
      <c r="B17" s="2" t="inlineStr">
        <is>
          <t>Messung_gpu_neu.log</t>
        </is>
      </c>
      <c r="C17" s="2" t="n">
        <v>3070</v>
      </c>
      <c r="D17" s="29" t="n">
        <v>51.64464633333333</v>
      </c>
      <c r="E17" s="29" t="n">
        <v>1.00956199999996</v>
      </c>
      <c r="F17" s="29" t="n">
        <v>1.047759000000042</v>
      </c>
      <c r="G17" s="29" t="n">
        <v>30.78910880121334</v>
      </c>
      <c r="H17" s="29" t="n">
        <v>8.232238209911024</v>
      </c>
      <c r="I17" s="29" t="n">
        <v>53.34597939251565</v>
      </c>
      <c r="J17" s="29" t="n">
        <v>58.01620266117987</v>
      </c>
      <c r="K17" s="2" t="n">
        <v>10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16" t="inlineStr">
        <is>
          <t>Hinweis</t>
        </is>
      </c>
      <c r="B19" s="2" t="inlineStr">
        <is>
          <t>Die Zyklen eines Treibers stammen aus einer Sitzung und bilden die Streuung von Zyklus zu Zyklus ab, nicht die zwischen Messtagen oder Neuinstallationen.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2026-10-05T10:47:18Z</dcterms:created>
  <dcterms:modified xmlns:dcterms="http://purl.org/dc/terms/" xmlns:xsi="http://www.w3.org/2001/XMLSchema-instance" xsi:type="dcterms:W3CDTF">2026-10-05T10:47:18Z</dcterms:modified>
</cp:coreProperties>
</file>